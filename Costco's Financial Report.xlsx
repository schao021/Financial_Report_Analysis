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202300"/>
  <mc:AlternateContent xmlns:mc="http://schemas.openxmlformats.org/markup-compatibility/2006">
    <mc:Choice Requires="x15">
      <x15ac:absPath xmlns:x15ac="http://schemas.microsoft.com/office/spreadsheetml/2010/11/ac" url="C:\Users\simch\Desktop\"/>
    </mc:Choice>
  </mc:AlternateContent>
  <xr:revisionPtr revIDLastSave="0" documentId="13_ncr:1_{6542D9D2-D476-4945-ADE0-2565FC06B4FC}" xr6:coauthVersionLast="47" xr6:coauthVersionMax="47" xr10:uidLastSave="{00000000-0000-0000-0000-000000000000}"/>
  <bookViews>
    <workbookView xWindow="-120" yWindow="-120" windowWidth="38640" windowHeight="21120" activeTab="2" xr2:uid="{D31FEFEC-6A00-4FC7-A6BB-BF7E70186027}"/>
  </bookViews>
  <sheets>
    <sheet name="Costco_Data_Charts" sheetId="4" r:id="rId1"/>
    <sheet name="Costco Metrics" sheetId="6" r:id="rId2"/>
    <sheet name="Dashboard" sheetId="8" r:id="rId3"/>
  </sheets>
  <definedNames>
    <definedName name="Slicer_Company_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6" l="1"/>
  <c r="C10" i="6"/>
  <c r="F10" i="6" s="1" a="1"/>
  <c r="F10" i="6" s="1"/>
  <c r="D10" i="6"/>
  <c r="C11" i="6"/>
  <c r="C12" i="6"/>
  <c r="D12" i="6"/>
  <c r="C13" i="6"/>
  <c r="D13" i="6"/>
  <c r="F13" i="6" l="1" a="1"/>
  <c r="F13" i="6" s="1"/>
  <c r="F12" i="6" a="1"/>
  <c r="F12" i="6" s="1"/>
  <c r="F11" i="6" a="1"/>
  <c r="F11" i="6" s="1"/>
  <c r="F14" i="6" l="1"/>
  <c r="C14" i="6" s="1" a="1"/>
  <c r="C1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9F0877-1745-4FF0-A542-3343E466722A}" keepAlive="1" name="Query - COSTCO_BALANCE_SHEET" description="Connection to the 'COSTCO_BALANCE_SHEET' query in the workbook." type="5" refreshedVersion="8" background="1" saveData="1">
    <dbPr connection="Provider=Microsoft.Mashup.OleDb.1;Data Source=$Workbook$;Location=COSTCO_BALANCE_SHEET;Extended Properties=&quot;&quot;" command="SELECT * FROM [COSTCO_BALANCE_SHEET]"/>
  </connection>
  <connection id="2" xr16:uid="{8FE46680-936B-44B6-B2EE-AEBC004E2AB8}" keepAlive="1" name="Query - COSTCO_CASH_FLOW" description="Connection to the 'COSTCO_CASH_FLOW' query in the workbook." type="5" refreshedVersion="8" background="1" saveData="1">
    <dbPr connection="Provider=Microsoft.Mashup.OleDb.1;Data Source=$Workbook$;Location=COSTCO_CASH_FLOW;Extended Properties=&quot;&quot;" command="SELECT * FROM [COSTCO_CASH_FLOW]"/>
  </connection>
  <connection id="3" xr16:uid="{8457E068-9F4C-4C62-8FDA-77827D15A3D9}" keepAlive="1" name="Query - COSTCO_FINANCIAL_REPORT" description="Connection to the 'COSTCO_FINANCIAL_REPORT' query in the workbook." type="5" refreshedVersion="8" background="1" saveData="1">
    <dbPr connection="Provider=Microsoft.Mashup.OleDb.1;Data Source=$Workbook$;Location=COSTCO_FINANCIAL_REPORT;Extended Properties=&quot;&quot;" command="SELECT * FROM [COSTCO_FINANCIAL_REPORT]"/>
  </connection>
  <connection id="4" xr16:uid="{AC4A94BA-DDDF-45EE-B6F5-C522305810E5}" keepAlive="1" name="Query - COSTCO_INCOME_STATEMENT" description="Connection to the 'COSTCO_INCOME_STATEMENT' query in the workbook." type="5" refreshedVersion="0" background="1">
    <dbPr connection="Provider=Microsoft.Mashup.OleDb.1;Data Source=$Workbook$;Location=COSTCO_INCOME_STATEMENT;Extended Properties=&quot;&quot;" command="SELECT * FROM [COSTCO_INCOME_STATEMENT]"/>
  </connection>
  <connection id="5" xr16:uid="{B8773E6C-82A4-407B-9EAB-9139F65B4795}" keepAlive="1" name="Query - COSTCO_KEY_FINANCIAL_REPORT" description="Connection to the 'COSTCO_KEY_FINANCIAL_REPORT' query in the workbook." type="5" refreshedVersion="8" background="1" saveData="1">
    <dbPr connection="Provider=Microsoft.Mashup.OleDb.1;Data Source=$Workbook$;Location=COSTCO_KEY_FINANCIAL_REPORT;Extended Properties=&quot;&quot;" command="SELECT * FROM [COSTCO_KEY_FINANCIAL_REPOR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<sst xmlns="http://schemas.openxmlformats.org/spreadsheetml/2006/main" count="46" uniqueCount="30">
  <si>
    <t>Year</t>
  </si>
  <si>
    <t>Costco</t>
  </si>
  <si>
    <t>Benchmark</t>
  </si>
  <si>
    <t>Metric</t>
  </si>
  <si>
    <t>ROE</t>
  </si>
  <si>
    <t>Current Ratio</t>
  </si>
  <si>
    <t>Debt-to-Equity</t>
  </si>
  <si>
    <t>Net Margin</t>
  </si>
  <si>
    <t>Meets Criteria?</t>
  </si>
  <si>
    <t>Company</t>
  </si>
  <si>
    <t>Total Investment Score</t>
  </si>
  <si>
    <t>Costco Financial Dashboard</t>
  </si>
  <si>
    <t>Row Labels</t>
  </si>
  <si>
    <t>Cash Flow</t>
  </si>
  <si>
    <t>Yearly Net Income</t>
  </si>
  <si>
    <t>ROA</t>
  </si>
  <si>
    <t>Sum of Operating Cash Flow</t>
  </si>
  <si>
    <t>Sum of Capital Expenditures</t>
  </si>
  <si>
    <t>Debt to Equity Ratio</t>
  </si>
  <si>
    <t>Company_Name</t>
  </si>
  <si>
    <t>(All)</t>
  </si>
  <si>
    <t>Latest Value</t>
  </si>
  <si>
    <t>6-Year Avg</t>
  </si>
  <si>
    <t>Column1</t>
  </si>
  <si>
    <t>Sum</t>
  </si>
  <si>
    <t>Average</t>
  </si>
  <si>
    <t>Running Total</t>
  </si>
  <si>
    <t>Count</t>
  </si>
  <si>
    <t>Total Revenue by Year</t>
  </si>
  <si>
    <t>Asset Turnover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</si>
</sst>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_(&quot;$&quot;* #,##0_);_(&quot;$&quot;* \(#,##0\);_(&quot;$&quot;* &quot;-&quot;??_);_(@_)"/>
    <numFmt numFmtId="169" formatCode="&quot;$&quot;#,##0.00"/>
  </numFmts>
  <fonts count="4" x14ac:knownFonts="1">
    <font>
      <sz val="11"/>
      <color theme="1"/>
      <name val="Aptos Narrow"/>
      <family val="2"/>
      <scheme val="minor"/>
    </font>
    <font>
      <b/>
      <sz val="11"/>
      <name val="Calibri"/>
      <family val="2"/>
    </font>
    <font>
      <sz val="8"/>
      <name val="Aptos Narrow"/>
      <family val="2"/>
      <scheme val="minor"/>
    </font>
    <font>
      <b/>
      <sz val="30"/>
      <color theme="1"/>
      <name val="Aptos Display"/>
      <family val="2"/>
      <scheme val="major"/>
    </font>
  </fonts>
  <fills count="5">
    <fill>
      <patternFill patternType="none"/>
    </fill>
    <fill>
      <patternFill patternType="gray125"/>
    </fill>
    <fill>
      <patternFill patternType="solid">
        <fgColor theme="3" tint="9.9978637043366805E-2"/>
        <bgColor indexed="64"/>
      </patternFill>
    </fill>
    <fill>
      <patternFill patternType="solid">
        <fgColor rgb="FFDDDDDD"/>
      </patternFill>
    </fill>
    <fill>
      <patternFill patternType="solid">
        <fgColor rgb="FFDDDDDD"/>
        <bgColor indexed="64"/>
      </patternFill>
    </fill>
  </fills>
  <borders count="1">
    <border>
      <left/>
      <right/>
      <top/>
      <bottom/>
      <diagonal/>
    </border>
  </borders>
  <cellStyleXfs count="1">
    <xf numFmtId="0" fontId="0" fillId="0" borderId="0"/>
  </cellStyleXfs>
  <cellXfs count="17">
    <xf numFmtId="0" fontId="0" fillId="0" borderId="0" xfId="0"/>
    <xf numFmtId="10"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169" fontId="0" fillId="0" borderId="0" xfId="0" applyNumberFormat="1"/>
    <xf numFmtId="0" fontId="1" fillId="3" borderId="0" xfId="0" applyFont="1" applyFill="1" applyBorder="1" applyAlignment="1">
      <alignment horizontal="center"/>
    </xf>
    <xf numFmtId="0" fontId="0" fillId="0" borderId="0" xfId="0" applyBorder="1"/>
    <xf numFmtId="10" fontId="0" fillId="0" borderId="0" xfId="0" applyNumberFormat="1" applyBorder="1"/>
    <xf numFmtId="2" fontId="0" fillId="0" borderId="0" xfId="0" applyNumberFormat="1" applyBorder="1"/>
    <xf numFmtId="1" fontId="0" fillId="0" borderId="0" xfId="0" applyNumberFormat="1" applyBorder="1"/>
    <xf numFmtId="165" fontId="0" fillId="0" borderId="0" xfId="0" applyNumberFormat="1" applyBorder="1"/>
    <xf numFmtId="0" fontId="0" fillId="0" borderId="0" xfId="0" applyNumberFormat="1" applyBorder="1" applyAlignment="1">
      <alignment horizontal="center"/>
    </xf>
    <xf numFmtId="0" fontId="1" fillId="4" borderId="0" xfId="0" applyFont="1" applyFill="1" applyBorder="1" applyAlignment="1">
      <alignment horizontal="center"/>
    </xf>
    <xf numFmtId="0" fontId="3" fillId="2" borderId="0" xfId="0" applyFont="1" applyFill="1" applyAlignment="1">
      <alignment horizontal="center" vertical="center"/>
    </xf>
  </cellXfs>
  <cellStyles count="1">
    <cellStyle name="Normal" xfId="0" builtinId="0"/>
  </cellStyles>
  <dxfs count="41">
    <dxf>
      <numFmt numFmtId="170" formatCode="&quot;$&quot;#,##0.0"/>
    </dxf>
    <dxf>
      <numFmt numFmtId="164" formatCode="&quot;$&quot;#,##0"/>
    </dxf>
    <dxf>
      <numFmt numFmtId="2" formatCode="0.00"/>
    </dxf>
    <dxf>
      <numFmt numFmtId="170" formatCode="&quot;$&quot;#,##0.0"/>
    </dxf>
    <dxf>
      <numFmt numFmtId="169" formatCode="&quot;$&quot;#,##0.00"/>
    </dxf>
    <dxf>
      <numFmt numFmtId="2" formatCode="0.00"/>
    </dxf>
    <dxf>
      <numFmt numFmtId="169" formatCode="&quot;$&quot;#,##0.00"/>
    </dxf>
    <dxf>
      <numFmt numFmtId="34" formatCode="_(&quot;$&quot;* #,##0.00_);_(&quot;$&quot;* \(#,##0.00\);_(&quot;$&quot;* &quot;-&quot;??_);_(@_)"/>
    </dxf>
    <dxf>
      <numFmt numFmtId="2" formatCode="0.00"/>
    </dxf>
    <dxf>
      <numFmt numFmtId="34" formatCode="_(&quot;$&quot;* #,##0.00_);_(&quot;$&quot;* \(#,##0.00\);_(&quot;$&quot;* &quot;-&quot;??_);_(@_)"/>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Calibri"/>
        <family val="2"/>
        <scheme val="none"/>
      </font>
      <fill>
        <patternFill patternType="solid">
          <fgColor indexed="64"/>
          <bgColor rgb="FFDDDDDD"/>
        </patternFill>
      </fill>
      <alignment horizontal="center" vertical="bottom" textRotation="0" wrapText="0" indent="0" justifyLastLine="0" shrinkToFit="0" readingOrder="0"/>
    </dxf>
    <dxf>
      <numFmt numFmtId="166" formatCode="_(&quot;$&quot;* #,##0_);_(&quot;$&quot;* \(#,##0\);_(&quot;$&quot;* &quot;-&quot;??_);_(@_)"/>
    </dxf>
    <dxf>
      <numFmt numFmtId="14" formatCode="0.00%"/>
    </dxf>
    <dxf>
      <numFmt numFmtId="14" formatCode="0.00%"/>
    </dxf>
    <dxf>
      <numFmt numFmtId="169" formatCode="&quot;$&quot;#,##0.00"/>
    </dxf>
    <dxf>
      <numFmt numFmtId="14" formatCode="0.00%"/>
    </dxf>
    <dxf>
      <numFmt numFmtId="169" formatCode="&quot;$&quot;#,##0.00"/>
    </dxf>
    <dxf>
      <numFmt numFmtId="14" formatCode="0.00%"/>
    </dxf>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Copy.xlsx]Costco_Data_Charts!PivotTable25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Income vs Free Cash Flow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Costco_Data_Charts!$B$3</c:f>
              <c:strCache>
                <c:ptCount val="1"/>
                <c:pt idx="0">
                  <c:v>Yearly Net Income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Costco_Data_Charts!$A$4:$A$9</c:f>
              <c:strCache>
                <c:ptCount val="6"/>
                <c:pt idx="0">
                  <c:v>2019</c:v>
                </c:pt>
                <c:pt idx="1">
                  <c:v>2020</c:v>
                </c:pt>
                <c:pt idx="2">
                  <c:v>2021</c:v>
                </c:pt>
                <c:pt idx="3">
                  <c:v>2022</c:v>
                </c:pt>
                <c:pt idx="4">
                  <c:v>2023</c:v>
                </c:pt>
                <c:pt idx="5">
                  <c:v>2024</c:v>
                </c:pt>
              </c:strCache>
            </c:strRef>
          </c:cat>
          <c:val>
            <c:numRef>
              <c:f>Costco_Data_Charts!$B$4:$B$9</c:f>
              <c:numCache>
                <c:formatCode>_("$"* #,##0_);_("$"* \(#,##0\);_("$"* "-"??_);_(@_)</c:formatCode>
                <c:ptCount val="6"/>
                <c:pt idx="0">
                  <c:v>3659</c:v>
                </c:pt>
                <c:pt idx="1">
                  <c:v>4002</c:v>
                </c:pt>
                <c:pt idx="2">
                  <c:v>5007</c:v>
                </c:pt>
                <c:pt idx="3">
                  <c:v>5844</c:v>
                </c:pt>
                <c:pt idx="4">
                  <c:v>6292</c:v>
                </c:pt>
                <c:pt idx="5">
                  <c:v>7367</c:v>
                </c:pt>
              </c:numCache>
            </c:numRef>
          </c:val>
          <c:smooth val="0"/>
          <c:extLst>
            <c:ext xmlns:c16="http://schemas.microsoft.com/office/drawing/2014/chart" uri="{C3380CC4-5D6E-409C-BE32-E72D297353CC}">
              <c16:uniqueId val="{00000008-0C69-4DFD-9AD8-6B6593B4A84A}"/>
            </c:ext>
          </c:extLst>
        </c:ser>
        <c:ser>
          <c:idx val="1"/>
          <c:order val="1"/>
          <c:tx>
            <c:strRef>
              <c:f>Costco_Data_Charts!$C$3</c:f>
              <c:strCache>
                <c:ptCount val="1"/>
                <c:pt idx="0">
                  <c:v>Cash Flow</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Costco_Data_Charts!$A$4:$A$9</c:f>
              <c:strCache>
                <c:ptCount val="6"/>
                <c:pt idx="0">
                  <c:v>2019</c:v>
                </c:pt>
                <c:pt idx="1">
                  <c:v>2020</c:v>
                </c:pt>
                <c:pt idx="2">
                  <c:v>2021</c:v>
                </c:pt>
                <c:pt idx="3">
                  <c:v>2022</c:v>
                </c:pt>
                <c:pt idx="4">
                  <c:v>2023</c:v>
                </c:pt>
                <c:pt idx="5">
                  <c:v>2024</c:v>
                </c:pt>
              </c:strCache>
            </c:strRef>
          </c:cat>
          <c:val>
            <c:numRef>
              <c:f>Costco_Data_Charts!$C$4:$C$9</c:f>
              <c:numCache>
                <c:formatCode>_("$"* #,##0_);_("$"* \(#,##0\);_("$"* "-"??_);_(@_)</c:formatCode>
                <c:ptCount val="6"/>
                <c:pt idx="0">
                  <c:v>9354</c:v>
                </c:pt>
                <c:pt idx="1">
                  <c:v>11671</c:v>
                </c:pt>
                <c:pt idx="2">
                  <c:v>12546</c:v>
                </c:pt>
                <c:pt idx="3">
                  <c:v>11283</c:v>
                </c:pt>
                <c:pt idx="4">
                  <c:v>15391</c:v>
                </c:pt>
                <c:pt idx="5">
                  <c:v>16049</c:v>
                </c:pt>
              </c:numCache>
            </c:numRef>
          </c:val>
          <c:smooth val="0"/>
          <c:extLst>
            <c:ext xmlns:c16="http://schemas.microsoft.com/office/drawing/2014/chart" uri="{C3380CC4-5D6E-409C-BE32-E72D297353CC}">
              <c16:uniqueId val="{00000009-0C69-4DFD-9AD8-6B6593B4A84A}"/>
            </c:ext>
          </c:extLst>
        </c:ser>
        <c:dLbls>
          <c:dLblPos val="t"/>
          <c:showLegendKey val="0"/>
          <c:showVal val="1"/>
          <c:showCatName val="0"/>
          <c:showSerName val="0"/>
          <c:showPercent val="0"/>
          <c:showBubbleSize val="0"/>
        </c:dLbls>
        <c:marker val="1"/>
        <c:smooth val="0"/>
        <c:axId val="1742250032"/>
        <c:axId val="1742245232"/>
      </c:lineChart>
      <c:catAx>
        <c:axId val="1742250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245232"/>
        <c:crosses val="autoZero"/>
        <c:auto val="1"/>
        <c:lblAlgn val="ctr"/>
        <c:lblOffset val="100"/>
        <c:noMultiLvlLbl val="0"/>
      </c:catAx>
      <c:valAx>
        <c:axId val="1742245232"/>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25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Copy.xlsx]Costco_Data_Charts!PivotTable26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 of ROA and ROE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Costco_Data_Charts!$G$1</c:f>
              <c:strCache>
                <c:ptCount val="1"/>
                <c:pt idx="0">
                  <c:v>ROA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Costco_Data_Charts!$F$2:$F$7</c:f>
              <c:strCache>
                <c:ptCount val="6"/>
                <c:pt idx="0">
                  <c:v>2019</c:v>
                </c:pt>
                <c:pt idx="1">
                  <c:v>2020</c:v>
                </c:pt>
                <c:pt idx="2">
                  <c:v>2021</c:v>
                </c:pt>
                <c:pt idx="3">
                  <c:v>2022</c:v>
                </c:pt>
                <c:pt idx="4">
                  <c:v>2023</c:v>
                </c:pt>
                <c:pt idx="5">
                  <c:v>2024</c:v>
                </c:pt>
              </c:strCache>
            </c:strRef>
          </c:cat>
          <c:val>
            <c:numRef>
              <c:f>Costco_Data_Charts!$G$2:$G$7</c:f>
              <c:numCache>
                <c:formatCode>0.00%</c:formatCode>
                <c:ptCount val="6"/>
                <c:pt idx="0">
                  <c:v>8.0594713656387706E-2</c:v>
                </c:pt>
                <c:pt idx="1">
                  <c:v>7.20354237166103E-2</c:v>
                </c:pt>
                <c:pt idx="2">
                  <c:v>8.4480664102044994E-2</c:v>
                </c:pt>
                <c:pt idx="3">
                  <c:v>9.1076270922295297E-2</c:v>
                </c:pt>
                <c:pt idx="4">
                  <c:v>9.1196335913267798E-2</c:v>
                </c:pt>
                <c:pt idx="5">
                  <c:v>0.105497558390972</c:v>
                </c:pt>
              </c:numCache>
            </c:numRef>
          </c:val>
          <c:extLst>
            <c:ext xmlns:c16="http://schemas.microsoft.com/office/drawing/2014/chart" uri="{C3380CC4-5D6E-409C-BE32-E72D297353CC}">
              <c16:uniqueId val="{00000000-5102-4D51-B258-8AD318591F19}"/>
            </c:ext>
          </c:extLst>
        </c:ser>
        <c:ser>
          <c:idx val="1"/>
          <c:order val="1"/>
          <c:tx>
            <c:strRef>
              <c:f>Costco_Data_Charts!$H$1</c:f>
              <c:strCache>
                <c:ptCount val="1"/>
                <c:pt idx="0">
                  <c:v>ROE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Costco_Data_Charts!$F$2:$F$7</c:f>
              <c:strCache>
                <c:ptCount val="6"/>
                <c:pt idx="0">
                  <c:v>2019</c:v>
                </c:pt>
                <c:pt idx="1">
                  <c:v>2020</c:v>
                </c:pt>
                <c:pt idx="2">
                  <c:v>2021</c:v>
                </c:pt>
                <c:pt idx="3">
                  <c:v>2022</c:v>
                </c:pt>
                <c:pt idx="4">
                  <c:v>2023</c:v>
                </c:pt>
                <c:pt idx="5">
                  <c:v>2024</c:v>
                </c:pt>
              </c:strCache>
            </c:strRef>
          </c:cat>
          <c:val>
            <c:numRef>
              <c:f>Costco_Data_Charts!$H$2:$H$7</c:f>
              <c:numCache>
                <c:formatCode>0.00%</c:formatCode>
                <c:ptCount val="6"/>
                <c:pt idx="0">
                  <c:v>0.24004461064095001</c:v>
                </c:pt>
                <c:pt idx="1">
                  <c:v>0.21887989499015501</c:v>
                </c:pt>
                <c:pt idx="2">
                  <c:v>0.28507173764518301</c:v>
                </c:pt>
                <c:pt idx="3">
                  <c:v>0.283112101540548</c:v>
                </c:pt>
                <c:pt idx="4">
                  <c:v>0.251097453906936</c:v>
                </c:pt>
                <c:pt idx="5">
                  <c:v>0.31187029040724801</c:v>
                </c:pt>
              </c:numCache>
            </c:numRef>
          </c:val>
          <c:extLst>
            <c:ext xmlns:c16="http://schemas.microsoft.com/office/drawing/2014/chart" uri="{C3380CC4-5D6E-409C-BE32-E72D297353CC}">
              <c16:uniqueId val="{00000001-5102-4D51-B258-8AD318591F19}"/>
            </c:ext>
          </c:extLst>
        </c:ser>
        <c:dLbls>
          <c:dLblPos val="outEnd"/>
          <c:showLegendKey val="0"/>
          <c:showVal val="1"/>
          <c:showCatName val="0"/>
          <c:showSerName val="0"/>
          <c:showPercent val="0"/>
          <c:showBubbleSize val="0"/>
        </c:dLbls>
        <c:gapWidth val="100"/>
        <c:overlap val="-24"/>
        <c:axId val="346785327"/>
        <c:axId val="346785807"/>
      </c:barChart>
      <c:catAx>
        <c:axId val="346785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785807"/>
        <c:crosses val="autoZero"/>
        <c:auto val="1"/>
        <c:lblAlgn val="ctr"/>
        <c:lblOffset val="100"/>
        <c:noMultiLvlLbl val="0"/>
      </c:catAx>
      <c:valAx>
        <c:axId val="3467858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78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Cash Flow vs CapEx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Costco_Data_Charts!$K$1</c:f>
              <c:strCache>
                <c:ptCount val="1"/>
                <c:pt idx="0">
                  <c:v>Sum of Operating Cash Flow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Costco_Data_Charts!$J$2:$J$7</c:f>
              <c:strCache>
                <c:ptCount val="6"/>
                <c:pt idx="0">
                  <c:v>2019</c:v>
                </c:pt>
                <c:pt idx="1">
                  <c:v>2020</c:v>
                </c:pt>
                <c:pt idx="2">
                  <c:v>2021</c:v>
                </c:pt>
                <c:pt idx="3">
                  <c:v>2022</c:v>
                </c:pt>
                <c:pt idx="4">
                  <c:v>2023</c:v>
                </c:pt>
                <c:pt idx="5">
                  <c:v>2024</c:v>
                </c:pt>
              </c:strCache>
            </c:strRef>
          </c:cat>
          <c:val>
            <c:numRef>
              <c:f>Costco_Data_Charts!$K$2:$K$7</c:f>
              <c:numCache>
                <c:formatCode>"$"#,##0.00</c:formatCode>
                <c:ptCount val="6"/>
                <c:pt idx="0">
                  <c:v>6356</c:v>
                </c:pt>
                <c:pt idx="1">
                  <c:v>8861</c:v>
                </c:pt>
                <c:pt idx="2">
                  <c:v>8958</c:v>
                </c:pt>
                <c:pt idx="3">
                  <c:v>7392</c:v>
                </c:pt>
                <c:pt idx="4">
                  <c:v>11068</c:v>
                </c:pt>
                <c:pt idx="5">
                  <c:v>11339</c:v>
                </c:pt>
              </c:numCache>
            </c:numRef>
          </c:val>
          <c:extLst>
            <c:ext xmlns:c16="http://schemas.microsoft.com/office/drawing/2014/chart" uri="{C3380CC4-5D6E-409C-BE32-E72D297353CC}">
              <c16:uniqueId val="{00000000-112B-4BAE-9EA2-F655678E61F5}"/>
            </c:ext>
          </c:extLst>
        </c:ser>
        <c:dLbls>
          <c:showLegendKey val="0"/>
          <c:showVal val="1"/>
          <c:showCatName val="0"/>
          <c:showSerName val="0"/>
          <c:showPercent val="0"/>
          <c:showBubbleSize val="0"/>
        </c:dLbls>
        <c:gapWidth val="219"/>
        <c:axId val="1886233840"/>
        <c:axId val="1886230000"/>
      </c:barChart>
      <c:lineChart>
        <c:grouping val="standard"/>
        <c:varyColors val="0"/>
        <c:ser>
          <c:idx val="1"/>
          <c:order val="1"/>
          <c:tx>
            <c:strRef>
              <c:f>Costco_Data_Charts!$L$1</c:f>
              <c:strCache>
                <c:ptCount val="1"/>
                <c:pt idx="0">
                  <c:v>Sum of Capital Expenditures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Costco_Data_Charts!$J$2:$J$7</c:f>
              <c:strCache>
                <c:ptCount val="6"/>
                <c:pt idx="0">
                  <c:v>2019</c:v>
                </c:pt>
                <c:pt idx="1">
                  <c:v>2020</c:v>
                </c:pt>
                <c:pt idx="2">
                  <c:v>2021</c:v>
                </c:pt>
                <c:pt idx="3">
                  <c:v>2022</c:v>
                </c:pt>
                <c:pt idx="4">
                  <c:v>2023</c:v>
                </c:pt>
                <c:pt idx="5">
                  <c:v>2024</c:v>
                </c:pt>
              </c:strCache>
            </c:strRef>
          </c:cat>
          <c:val>
            <c:numRef>
              <c:f>Costco_Data_Charts!$L$2:$L$7</c:f>
              <c:numCache>
                <c:formatCode>"$"#,##0.00</c:formatCode>
                <c:ptCount val="6"/>
                <c:pt idx="0">
                  <c:v>-2998</c:v>
                </c:pt>
                <c:pt idx="1">
                  <c:v>-2810</c:v>
                </c:pt>
                <c:pt idx="2">
                  <c:v>-3588</c:v>
                </c:pt>
                <c:pt idx="3">
                  <c:v>-3891</c:v>
                </c:pt>
                <c:pt idx="4">
                  <c:v>-4323</c:v>
                </c:pt>
                <c:pt idx="5">
                  <c:v>-4710</c:v>
                </c:pt>
              </c:numCache>
            </c:numRef>
          </c:val>
          <c:smooth val="0"/>
          <c:extLst>
            <c:ext xmlns:c16="http://schemas.microsoft.com/office/drawing/2014/chart" uri="{C3380CC4-5D6E-409C-BE32-E72D297353CC}">
              <c16:uniqueId val="{00000001-112B-4BAE-9EA2-F655678E61F5}"/>
            </c:ext>
          </c:extLst>
        </c:ser>
        <c:dLbls>
          <c:showLegendKey val="0"/>
          <c:showVal val="1"/>
          <c:showCatName val="0"/>
          <c:showSerName val="0"/>
          <c:showPercent val="0"/>
          <c:showBubbleSize val="0"/>
        </c:dLbls>
        <c:marker val="1"/>
        <c:smooth val="0"/>
        <c:axId val="1886229520"/>
        <c:axId val="1886245840"/>
      </c:lineChart>
      <c:catAx>
        <c:axId val="18862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0000"/>
        <c:crosses val="autoZero"/>
        <c:auto val="1"/>
        <c:lblAlgn val="ctr"/>
        <c:lblOffset val="100"/>
        <c:noMultiLvlLbl val="0"/>
      </c:catAx>
      <c:valAx>
        <c:axId val="18862300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3840"/>
        <c:crosses val="autoZero"/>
        <c:crossBetween val="between"/>
      </c:valAx>
      <c:valAx>
        <c:axId val="1886245840"/>
        <c:scaling>
          <c:orientation val="minMax"/>
        </c:scaling>
        <c:delete val="0"/>
        <c:axPos val="r"/>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29520"/>
        <c:crosses val="max"/>
        <c:crossBetween val="between"/>
      </c:valAx>
      <c:catAx>
        <c:axId val="1886229520"/>
        <c:scaling>
          <c:orientation val="minMax"/>
        </c:scaling>
        <c:delete val="1"/>
        <c:axPos val="b"/>
        <c:numFmt formatCode="General" sourceLinked="1"/>
        <c:majorTickMark val="none"/>
        <c:minorTickMark val="none"/>
        <c:tickLblPos val="nextTo"/>
        <c:crossAx val="188624584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Copy.xlsx]Costco_Data_Charts!PivotTable6</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Current Ratio Vs. Debt To Equity Ratio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Costco_Data_Charts!$L$37</c:f>
              <c:strCache>
                <c:ptCount val="1"/>
                <c:pt idx="0">
                  <c:v>Current Ratio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Costco_Data_Charts!$K$38:$K$43</c:f>
              <c:strCache>
                <c:ptCount val="6"/>
                <c:pt idx="0">
                  <c:v>2024</c:v>
                </c:pt>
                <c:pt idx="1">
                  <c:v>2023</c:v>
                </c:pt>
                <c:pt idx="2">
                  <c:v>2022</c:v>
                </c:pt>
                <c:pt idx="3">
                  <c:v>2021</c:v>
                </c:pt>
                <c:pt idx="4">
                  <c:v>2020</c:v>
                </c:pt>
                <c:pt idx="5">
                  <c:v>2019</c:v>
                </c:pt>
              </c:strCache>
            </c:strRef>
          </c:cat>
          <c:val>
            <c:numRef>
              <c:f>Costco_Data_Charts!$L$38:$L$43</c:f>
              <c:numCache>
                <c:formatCode>0.00</c:formatCode>
                <c:ptCount val="6"/>
                <c:pt idx="0">
                  <c:v>0.96565531242950597</c:v>
                </c:pt>
                <c:pt idx="1">
                  <c:v>1.06836792424739</c:v>
                </c:pt>
                <c:pt idx="2">
                  <c:v>1.02181386336646</c:v>
                </c:pt>
                <c:pt idx="3">
                  <c:v>1.00217383920383</c:v>
                </c:pt>
                <c:pt idx="4">
                  <c:v>1.1318628240219</c:v>
                </c:pt>
                <c:pt idx="5">
                  <c:v>1.0106726341610399</c:v>
                </c:pt>
              </c:numCache>
            </c:numRef>
          </c:val>
          <c:extLst>
            <c:ext xmlns:c16="http://schemas.microsoft.com/office/drawing/2014/chart" uri="{C3380CC4-5D6E-409C-BE32-E72D297353CC}">
              <c16:uniqueId val="{00000000-C876-4048-87B5-4A07525B30D5}"/>
            </c:ext>
          </c:extLst>
        </c:ser>
        <c:ser>
          <c:idx val="1"/>
          <c:order val="1"/>
          <c:tx>
            <c:strRef>
              <c:f>Costco_Data_Charts!$M$37</c:f>
              <c:strCache>
                <c:ptCount val="1"/>
                <c:pt idx="0">
                  <c:v>Debt to Equity Ratio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Costco_Data_Charts!$K$38:$K$43</c:f>
              <c:strCache>
                <c:ptCount val="6"/>
                <c:pt idx="0">
                  <c:v>2024</c:v>
                </c:pt>
                <c:pt idx="1">
                  <c:v>2023</c:v>
                </c:pt>
                <c:pt idx="2">
                  <c:v>2022</c:v>
                </c:pt>
                <c:pt idx="3">
                  <c:v>2021</c:v>
                </c:pt>
                <c:pt idx="4">
                  <c:v>2020</c:v>
                </c:pt>
                <c:pt idx="5">
                  <c:v>2019</c:v>
                </c:pt>
              </c:strCache>
            </c:strRef>
          </c:cat>
          <c:val>
            <c:numRef>
              <c:f>Costco_Data_Charts!$M$38:$M$43</c:f>
              <c:numCache>
                <c:formatCode>0.00</c:formatCode>
                <c:ptCount val="6"/>
                <c:pt idx="0">
                  <c:v>1.9561849123698201</c:v>
                </c:pt>
                <c:pt idx="1">
                  <c:v>1.7533721765504</c:v>
                </c:pt>
                <c:pt idx="2">
                  <c:v>2.1082743920162801</c:v>
                </c:pt>
                <c:pt idx="3">
                  <c:v>2.3451377818264598</c:v>
                </c:pt>
                <c:pt idx="4">
                  <c:v>2.01547801356377</c:v>
                </c:pt>
                <c:pt idx="5">
                  <c:v>1.95604539788756</c:v>
                </c:pt>
              </c:numCache>
            </c:numRef>
          </c:val>
          <c:extLst>
            <c:ext xmlns:c16="http://schemas.microsoft.com/office/drawing/2014/chart" uri="{C3380CC4-5D6E-409C-BE32-E72D297353CC}">
              <c16:uniqueId val="{00000001-C876-4048-87B5-4A07525B30D5}"/>
            </c:ext>
          </c:extLst>
        </c:ser>
        <c:dLbls>
          <c:showLegendKey val="0"/>
          <c:showVal val="0"/>
          <c:showCatName val="0"/>
          <c:showSerName val="0"/>
          <c:showPercent val="0"/>
          <c:showBubbleSize val="0"/>
        </c:dLbls>
        <c:gapWidth val="115"/>
        <c:overlap val="-20"/>
        <c:axId val="1886239120"/>
        <c:axId val="1886236240"/>
      </c:barChart>
      <c:catAx>
        <c:axId val="1886239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6240"/>
        <c:crosses val="autoZero"/>
        <c:auto val="1"/>
        <c:lblAlgn val="ctr"/>
        <c:lblOffset val="100"/>
        <c:noMultiLvlLbl val="0"/>
      </c:catAx>
      <c:valAx>
        <c:axId val="188623624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Copy.xlsx]Costco_Data_Charts!PivotTable7</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Costco Revenue &amp; Asset Turnover (2019-2024)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Costco_Data_Charts!$B$46</c:f>
              <c:strCache>
                <c:ptCount val="1"/>
                <c:pt idx="0">
                  <c:v>Total Revenue by 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Costco_Data_Charts!$A$47:$A$52</c:f>
              <c:strCache>
                <c:ptCount val="6"/>
                <c:pt idx="0">
                  <c:v>2024</c:v>
                </c:pt>
                <c:pt idx="1">
                  <c:v>2023</c:v>
                </c:pt>
                <c:pt idx="2">
                  <c:v>2022</c:v>
                </c:pt>
                <c:pt idx="3">
                  <c:v>2021</c:v>
                </c:pt>
                <c:pt idx="4">
                  <c:v>2020</c:v>
                </c:pt>
                <c:pt idx="5">
                  <c:v>2019</c:v>
                </c:pt>
              </c:strCache>
            </c:strRef>
          </c:cat>
          <c:val>
            <c:numRef>
              <c:f>Costco_Data_Charts!$B$47:$B$52</c:f>
              <c:numCache>
                <c:formatCode>"$"#,##0</c:formatCode>
                <c:ptCount val="6"/>
                <c:pt idx="0">
                  <c:v>254453</c:v>
                </c:pt>
                <c:pt idx="1">
                  <c:v>242290</c:v>
                </c:pt>
                <c:pt idx="2">
                  <c:v>226954</c:v>
                </c:pt>
                <c:pt idx="3">
                  <c:v>195929</c:v>
                </c:pt>
                <c:pt idx="4">
                  <c:v>166761</c:v>
                </c:pt>
                <c:pt idx="5">
                  <c:v>152703</c:v>
                </c:pt>
              </c:numCache>
            </c:numRef>
          </c:val>
          <c:smooth val="0"/>
          <c:extLst>
            <c:ext xmlns:c16="http://schemas.microsoft.com/office/drawing/2014/chart" uri="{C3380CC4-5D6E-409C-BE32-E72D297353CC}">
              <c16:uniqueId val="{00000000-93D3-4822-8979-ACF1D58765F9}"/>
            </c:ext>
          </c:extLst>
        </c:ser>
        <c:dLbls>
          <c:showLegendKey val="0"/>
          <c:showVal val="0"/>
          <c:showCatName val="0"/>
          <c:showSerName val="0"/>
          <c:showPercent val="0"/>
          <c:showBubbleSize val="0"/>
        </c:dLbls>
        <c:marker val="1"/>
        <c:smooth val="0"/>
        <c:axId val="647264959"/>
        <c:axId val="647265439"/>
      </c:lineChart>
      <c:lineChart>
        <c:grouping val="standard"/>
        <c:varyColors val="0"/>
        <c:ser>
          <c:idx val="1"/>
          <c:order val="1"/>
          <c:tx>
            <c:strRef>
              <c:f>Costco_Data_Charts!$C$46</c:f>
              <c:strCache>
                <c:ptCount val="1"/>
                <c:pt idx="0">
                  <c:v>Asset Turnover By 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Costco_Data_Charts!$A$47:$A$52</c:f>
              <c:strCache>
                <c:ptCount val="6"/>
                <c:pt idx="0">
                  <c:v>2024</c:v>
                </c:pt>
                <c:pt idx="1">
                  <c:v>2023</c:v>
                </c:pt>
                <c:pt idx="2">
                  <c:v>2022</c:v>
                </c:pt>
                <c:pt idx="3">
                  <c:v>2021</c:v>
                </c:pt>
                <c:pt idx="4">
                  <c:v>2020</c:v>
                </c:pt>
                <c:pt idx="5">
                  <c:v>2019</c:v>
                </c:pt>
              </c:strCache>
            </c:strRef>
          </c:cat>
          <c:val>
            <c:numRef>
              <c:f>Costco_Data_Charts!$C$47:$C$52</c:f>
              <c:numCache>
                <c:formatCode>0.00</c:formatCode>
                <c:ptCount val="6"/>
                <c:pt idx="0">
                  <c:v>3.6438401283097801</c:v>
                </c:pt>
                <c:pt idx="1">
                  <c:v>3.5117546453314801</c:v>
                </c:pt>
                <c:pt idx="2">
                  <c:v>3.53698220241249</c:v>
                </c:pt>
                <c:pt idx="3">
                  <c:v>3.3058142673955602</c:v>
                </c:pt>
                <c:pt idx="4">
                  <c:v>3.0016739866081101</c:v>
                </c:pt>
                <c:pt idx="5">
                  <c:v>3.3635022026431698</c:v>
                </c:pt>
              </c:numCache>
            </c:numRef>
          </c:val>
          <c:smooth val="0"/>
          <c:extLst>
            <c:ext xmlns:c16="http://schemas.microsoft.com/office/drawing/2014/chart" uri="{C3380CC4-5D6E-409C-BE32-E72D297353CC}">
              <c16:uniqueId val="{00000001-93D3-4822-8979-ACF1D58765F9}"/>
            </c:ext>
          </c:extLst>
        </c:ser>
        <c:dLbls>
          <c:showLegendKey val="0"/>
          <c:showVal val="0"/>
          <c:showCatName val="0"/>
          <c:showSerName val="0"/>
          <c:showPercent val="0"/>
          <c:showBubbleSize val="0"/>
        </c:dLbls>
        <c:marker val="1"/>
        <c:smooth val="0"/>
        <c:axId val="647283199"/>
        <c:axId val="647276479"/>
      </c:lineChart>
      <c:catAx>
        <c:axId val="64726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65439"/>
        <c:crosses val="autoZero"/>
        <c:auto val="1"/>
        <c:lblAlgn val="ctr"/>
        <c:lblOffset val="100"/>
        <c:noMultiLvlLbl val="0"/>
      </c:catAx>
      <c:valAx>
        <c:axId val="647265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Revenue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64959"/>
        <c:crosses val="autoZero"/>
        <c:crossBetween val="between"/>
      </c:valAx>
      <c:valAx>
        <c:axId val="64727647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Asset Turnover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83199"/>
        <c:crosses val="max"/>
        <c:crossBetween val="between"/>
      </c:valAx>
      <c:catAx>
        <c:axId val="647283199"/>
        <c:scaling>
          <c:orientation val="minMax"/>
        </c:scaling>
        <c:delete val="1"/>
        <c:axPos val="b"/>
        <c:numFmt formatCode="General" sourceLinked="1"/>
        <c:majorTickMark val="none"/>
        <c:minorTickMark val="none"/>
        <c:tickLblPos val="nextTo"/>
        <c:crossAx val="647276479"/>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Copy.xlsx]Costco_Data_Charts!PivotTable25</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Net Income vs Free Cash Flow</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Costco_Data_Charts!$B$3</c:f>
              <c:strCache>
                <c:ptCount val="1"/>
                <c:pt idx="0">
                  <c:v>Yearly Net Income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Costco_Data_Charts!$A$4:$A$9</c:f>
              <c:strCache>
                <c:ptCount val="6"/>
                <c:pt idx="0">
                  <c:v>2019</c:v>
                </c:pt>
                <c:pt idx="1">
                  <c:v>2020</c:v>
                </c:pt>
                <c:pt idx="2">
                  <c:v>2021</c:v>
                </c:pt>
                <c:pt idx="3">
                  <c:v>2022</c:v>
                </c:pt>
                <c:pt idx="4">
                  <c:v>2023</c:v>
                </c:pt>
                <c:pt idx="5">
                  <c:v>2024</c:v>
                </c:pt>
              </c:strCache>
            </c:strRef>
          </c:cat>
          <c:val>
            <c:numRef>
              <c:f>Costco_Data_Charts!$B$4:$B$9</c:f>
              <c:numCache>
                <c:formatCode>_("$"* #,##0_);_("$"* \(#,##0\);_("$"* "-"??_);_(@_)</c:formatCode>
                <c:ptCount val="6"/>
                <c:pt idx="0">
                  <c:v>3659</c:v>
                </c:pt>
                <c:pt idx="1">
                  <c:v>4002</c:v>
                </c:pt>
                <c:pt idx="2">
                  <c:v>5007</c:v>
                </c:pt>
                <c:pt idx="3">
                  <c:v>5844</c:v>
                </c:pt>
                <c:pt idx="4">
                  <c:v>6292</c:v>
                </c:pt>
                <c:pt idx="5">
                  <c:v>7367</c:v>
                </c:pt>
              </c:numCache>
            </c:numRef>
          </c:val>
          <c:smooth val="0"/>
          <c:extLst>
            <c:ext xmlns:c16="http://schemas.microsoft.com/office/drawing/2014/chart" uri="{C3380CC4-5D6E-409C-BE32-E72D297353CC}">
              <c16:uniqueId val="{00000000-4C16-4792-BF3E-84877DB19CB4}"/>
            </c:ext>
          </c:extLst>
        </c:ser>
        <c:ser>
          <c:idx val="1"/>
          <c:order val="1"/>
          <c:tx>
            <c:strRef>
              <c:f>Costco_Data_Charts!$C$3</c:f>
              <c:strCache>
                <c:ptCount val="1"/>
                <c:pt idx="0">
                  <c:v>Cash Flow</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Costco_Data_Charts!$A$4:$A$9</c:f>
              <c:strCache>
                <c:ptCount val="6"/>
                <c:pt idx="0">
                  <c:v>2019</c:v>
                </c:pt>
                <c:pt idx="1">
                  <c:v>2020</c:v>
                </c:pt>
                <c:pt idx="2">
                  <c:v>2021</c:v>
                </c:pt>
                <c:pt idx="3">
                  <c:v>2022</c:v>
                </c:pt>
                <c:pt idx="4">
                  <c:v>2023</c:v>
                </c:pt>
                <c:pt idx="5">
                  <c:v>2024</c:v>
                </c:pt>
              </c:strCache>
            </c:strRef>
          </c:cat>
          <c:val>
            <c:numRef>
              <c:f>Costco_Data_Charts!$C$4:$C$9</c:f>
              <c:numCache>
                <c:formatCode>_("$"* #,##0_);_("$"* \(#,##0\);_("$"* "-"??_);_(@_)</c:formatCode>
                <c:ptCount val="6"/>
                <c:pt idx="0">
                  <c:v>9354</c:v>
                </c:pt>
                <c:pt idx="1">
                  <c:v>11671</c:v>
                </c:pt>
                <c:pt idx="2">
                  <c:v>12546</c:v>
                </c:pt>
                <c:pt idx="3">
                  <c:v>11283</c:v>
                </c:pt>
                <c:pt idx="4">
                  <c:v>15391</c:v>
                </c:pt>
                <c:pt idx="5">
                  <c:v>16049</c:v>
                </c:pt>
              </c:numCache>
            </c:numRef>
          </c:val>
          <c:smooth val="0"/>
          <c:extLst>
            <c:ext xmlns:c16="http://schemas.microsoft.com/office/drawing/2014/chart" uri="{C3380CC4-5D6E-409C-BE32-E72D297353CC}">
              <c16:uniqueId val="{00000001-4C16-4792-BF3E-84877DB19CB4}"/>
            </c:ext>
          </c:extLst>
        </c:ser>
        <c:dLbls>
          <c:dLblPos val="t"/>
          <c:showLegendKey val="0"/>
          <c:showVal val="1"/>
          <c:showCatName val="0"/>
          <c:showSerName val="0"/>
          <c:showPercent val="0"/>
          <c:showBubbleSize val="0"/>
        </c:dLbls>
        <c:marker val="1"/>
        <c:smooth val="0"/>
        <c:axId val="1742250032"/>
        <c:axId val="1742245232"/>
      </c:lineChart>
      <c:catAx>
        <c:axId val="17422500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245232"/>
        <c:crosses val="autoZero"/>
        <c:auto val="1"/>
        <c:lblAlgn val="ctr"/>
        <c:lblOffset val="100"/>
        <c:noMultiLvlLbl val="0"/>
      </c:catAx>
      <c:valAx>
        <c:axId val="1742245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225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Cash Flow vs CapEx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Costco_Data_Charts!$K$1</c:f>
              <c:strCache>
                <c:ptCount val="1"/>
                <c:pt idx="0">
                  <c:v>Sum of Operating Cash Flow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Costco_Data_Charts!$J$2:$J$7</c:f>
              <c:strCache>
                <c:ptCount val="6"/>
                <c:pt idx="0">
                  <c:v>2019</c:v>
                </c:pt>
                <c:pt idx="1">
                  <c:v>2020</c:v>
                </c:pt>
                <c:pt idx="2">
                  <c:v>2021</c:v>
                </c:pt>
                <c:pt idx="3">
                  <c:v>2022</c:v>
                </c:pt>
                <c:pt idx="4">
                  <c:v>2023</c:v>
                </c:pt>
                <c:pt idx="5">
                  <c:v>2024</c:v>
                </c:pt>
              </c:strCache>
            </c:strRef>
          </c:cat>
          <c:val>
            <c:numRef>
              <c:f>Costco_Data_Charts!$K$2:$K$7</c:f>
              <c:numCache>
                <c:formatCode>"$"#,##0.00</c:formatCode>
                <c:ptCount val="6"/>
                <c:pt idx="0">
                  <c:v>6356</c:v>
                </c:pt>
                <c:pt idx="1">
                  <c:v>8861</c:v>
                </c:pt>
                <c:pt idx="2">
                  <c:v>8958</c:v>
                </c:pt>
                <c:pt idx="3">
                  <c:v>7392</c:v>
                </c:pt>
                <c:pt idx="4">
                  <c:v>11068</c:v>
                </c:pt>
                <c:pt idx="5">
                  <c:v>11339</c:v>
                </c:pt>
              </c:numCache>
            </c:numRef>
          </c:val>
          <c:extLst>
            <c:ext xmlns:c16="http://schemas.microsoft.com/office/drawing/2014/chart" uri="{C3380CC4-5D6E-409C-BE32-E72D297353CC}">
              <c16:uniqueId val="{00000000-73A2-44D3-827B-3FE29D20666D}"/>
            </c:ext>
          </c:extLst>
        </c:ser>
        <c:dLbls>
          <c:showLegendKey val="0"/>
          <c:showVal val="1"/>
          <c:showCatName val="0"/>
          <c:showSerName val="0"/>
          <c:showPercent val="0"/>
          <c:showBubbleSize val="0"/>
        </c:dLbls>
        <c:gapWidth val="219"/>
        <c:axId val="1886233840"/>
        <c:axId val="1886230000"/>
      </c:barChart>
      <c:lineChart>
        <c:grouping val="standard"/>
        <c:varyColors val="0"/>
        <c:ser>
          <c:idx val="1"/>
          <c:order val="1"/>
          <c:tx>
            <c:strRef>
              <c:f>Costco_Data_Charts!$L$1</c:f>
              <c:strCache>
                <c:ptCount val="1"/>
                <c:pt idx="0">
                  <c:v>Sum of Capital Expenditures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Costco_Data_Charts!$J$2:$J$7</c:f>
              <c:strCache>
                <c:ptCount val="6"/>
                <c:pt idx="0">
                  <c:v>2019</c:v>
                </c:pt>
                <c:pt idx="1">
                  <c:v>2020</c:v>
                </c:pt>
                <c:pt idx="2">
                  <c:v>2021</c:v>
                </c:pt>
                <c:pt idx="3">
                  <c:v>2022</c:v>
                </c:pt>
                <c:pt idx="4">
                  <c:v>2023</c:v>
                </c:pt>
                <c:pt idx="5">
                  <c:v>2024</c:v>
                </c:pt>
              </c:strCache>
            </c:strRef>
          </c:cat>
          <c:val>
            <c:numRef>
              <c:f>Costco_Data_Charts!$L$2:$L$7</c:f>
              <c:numCache>
                <c:formatCode>"$"#,##0.00</c:formatCode>
                <c:ptCount val="6"/>
                <c:pt idx="0">
                  <c:v>-2998</c:v>
                </c:pt>
                <c:pt idx="1">
                  <c:v>-2810</c:v>
                </c:pt>
                <c:pt idx="2">
                  <c:v>-3588</c:v>
                </c:pt>
                <c:pt idx="3">
                  <c:v>-3891</c:v>
                </c:pt>
                <c:pt idx="4">
                  <c:v>-4323</c:v>
                </c:pt>
                <c:pt idx="5">
                  <c:v>-4710</c:v>
                </c:pt>
              </c:numCache>
            </c:numRef>
          </c:val>
          <c:smooth val="0"/>
          <c:extLst>
            <c:ext xmlns:c16="http://schemas.microsoft.com/office/drawing/2014/chart" uri="{C3380CC4-5D6E-409C-BE32-E72D297353CC}">
              <c16:uniqueId val="{00000001-73A2-44D3-827B-3FE29D20666D}"/>
            </c:ext>
          </c:extLst>
        </c:ser>
        <c:dLbls>
          <c:showLegendKey val="0"/>
          <c:showVal val="1"/>
          <c:showCatName val="0"/>
          <c:showSerName val="0"/>
          <c:showPercent val="0"/>
          <c:showBubbleSize val="0"/>
        </c:dLbls>
        <c:marker val="1"/>
        <c:smooth val="0"/>
        <c:axId val="1886229520"/>
        <c:axId val="1886245840"/>
      </c:lineChart>
      <c:catAx>
        <c:axId val="188623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0000"/>
        <c:crosses val="autoZero"/>
        <c:auto val="1"/>
        <c:lblAlgn val="ctr"/>
        <c:lblOffset val="100"/>
        <c:noMultiLvlLbl val="0"/>
      </c:catAx>
      <c:valAx>
        <c:axId val="1886230000"/>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3840"/>
        <c:crosses val="autoZero"/>
        <c:crossBetween val="between"/>
      </c:valAx>
      <c:valAx>
        <c:axId val="1886245840"/>
        <c:scaling>
          <c:orientation val="minMax"/>
        </c:scaling>
        <c:delete val="0"/>
        <c:axPos val="r"/>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29520"/>
        <c:crosses val="max"/>
        <c:crossBetween val="between"/>
      </c:valAx>
      <c:catAx>
        <c:axId val="1886229520"/>
        <c:scaling>
          <c:orientation val="minMax"/>
        </c:scaling>
        <c:delete val="1"/>
        <c:axPos val="b"/>
        <c:numFmt formatCode="General" sourceLinked="1"/>
        <c:majorTickMark val="none"/>
        <c:minorTickMark val="none"/>
        <c:tickLblPos val="nextTo"/>
        <c:crossAx val="1886245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Copy.xlsx]Costco_Data_Charts!PivotTable26</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Comparison of ROA and ROE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Costco_Data_Charts!$G$1</c:f>
              <c:strCache>
                <c:ptCount val="1"/>
                <c:pt idx="0">
                  <c:v>ROA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Costco_Data_Charts!$F$2:$F$7</c:f>
              <c:strCache>
                <c:ptCount val="6"/>
                <c:pt idx="0">
                  <c:v>2019</c:v>
                </c:pt>
                <c:pt idx="1">
                  <c:v>2020</c:v>
                </c:pt>
                <c:pt idx="2">
                  <c:v>2021</c:v>
                </c:pt>
                <c:pt idx="3">
                  <c:v>2022</c:v>
                </c:pt>
                <c:pt idx="4">
                  <c:v>2023</c:v>
                </c:pt>
                <c:pt idx="5">
                  <c:v>2024</c:v>
                </c:pt>
              </c:strCache>
            </c:strRef>
          </c:cat>
          <c:val>
            <c:numRef>
              <c:f>Costco_Data_Charts!$G$2:$G$7</c:f>
              <c:numCache>
                <c:formatCode>0.00%</c:formatCode>
                <c:ptCount val="6"/>
                <c:pt idx="0">
                  <c:v>8.0594713656387706E-2</c:v>
                </c:pt>
                <c:pt idx="1">
                  <c:v>7.20354237166103E-2</c:v>
                </c:pt>
                <c:pt idx="2">
                  <c:v>8.4480664102044994E-2</c:v>
                </c:pt>
                <c:pt idx="3">
                  <c:v>9.1076270922295297E-2</c:v>
                </c:pt>
                <c:pt idx="4">
                  <c:v>9.1196335913267798E-2</c:v>
                </c:pt>
                <c:pt idx="5">
                  <c:v>0.105497558390972</c:v>
                </c:pt>
              </c:numCache>
            </c:numRef>
          </c:val>
          <c:extLst>
            <c:ext xmlns:c16="http://schemas.microsoft.com/office/drawing/2014/chart" uri="{C3380CC4-5D6E-409C-BE32-E72D297353CC}">
              <c16:uniqueId val="{00000000-3F35-4173-B0AE-CACA4F692EC1}"/>
            </c:ext>
          </c:extLst>
        </c:ser>
        <c:ser>
          <c:idx val="1"/>
          <c:order val="1"/>
          <c:tx>
            <c:strRef>
              <c:f>Costco_Data_Charts!$H$1</c:f>
              <c:strCache>
                <c:ptCount val="1"/>
                <c:pt idx="0">
                  <c:v>ROE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Costco_Data_Charts!$F$2:$F$7</c:f>
              <c:strCache>
                <c:ptCount val="6"/>
                <c:pt idx="0">
                  <c:v>2019</c:v>
                </c:pt>
                <c:pt idx="1">
                  <c:v>2020</c:v>
                </c:pt>
                <c:pt idx="2">
                  <c:v>2021</c:v>
                </c:pt>
                <c:pt idx="3">
                  <c:v>2022</c:v>
                </c:pt>
                <c:pt idx="4">
                  <c:v>2023</c:v>
                </c:pt>
                <c:pt idx="5">
                  <c:v>2024</c:v>
                </c:pt>
              </c:strCache>
            </c:strRef>
          </c:cat>
          <c:val>
            <c:numRef>
              <c:f>Costco_Data_Charts!$H$2:$H$7</c:f>
              <c:numCache>
                <c:formatCode>0.00%</c:formatCode>
                <c:ptCount val="6"/>
                <c:pt idx="0">
                  <c:v>0.24004461064095001</c:v>
                </c:pt>
                <c:pt idx="1">
                  <c:v>0.21887989499015501</c:v>
                </c:pt>
                <c:pt idx="2">
                  <c:v>0.28507173764518301</c:v>
                </c:pt>
                <c:pt idx="3">
                  <c:v>0.283112101540548</c:v>
                </c:pt>
                <c:pt idx="4">
                  <c:v>0.251097453906936</c:v>
                </c:pt>
                <c:pt idx="5">
                  <c:v>0.31187029040724801</c:v>
                </c:pt>
              </c:numCache>
            </c:numRef>
          </c:val>
          <c:extLst>
            <c:ext xmlns:c16="http://schemas.microsoft.com/office/drawing/2014/chart" uri="{C3380CC4-5D6E-409C-BE32-E72D297353CC}">
              <c16:uniqueId val="{00000001-3F35-4173-B0AE-CACA4F692EC1}"/>
            </c:ext>
          </c:extLst>
        </c:ser>
        <c:dLbls>
          <c:dLblPos val="outEnd"/>
          <c:showLegendKey val="0"/>
          <c:showVal val="1"/>
          <c:showCatName val="0"/>
          <c:showSerName val="0"/>
          <c:showPercent val="0"/>
          <c:showBubbleSize val="0"/>
        </c:dLbls>
        <c:gapWidth val="100"/>
        <c:overlap val="-24"/>
        <c:axId val="346785327"/>
        <c:axId val="346785807"/>
      </c:barChart>
      <c:catAx>
        <c:axId val="346785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785807"/>
        <c:crosses val="autoZero"/>
        <c:auto val="1"/>
        <c:lblAlgn val="ctr"/>
        <c:lblOffset val="100"/>
        <c:noMultiLvlLbl val="0"/>
      </c:catAx>
      <c:valAx>
        <c:axId val="34678580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78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Copy.xlsx]Costco_Data_Charts!PivotTable6</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Current Ratio Vs. Debt To Equity Ratio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Costco_Data_Charts!$L$37</c:f>
              <c:strCache>
                <c:ptCount val="1"/>
                <c:pt idx="0">
                  <c:v>Current Ratio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Costco_Data_Charts!$K$38:$K$43</c:f>
              <c:strCache>
                <c:ptCount val="6"/>
                <c:pt idx="0">
                  <c:v>2024</c:v>
                </c:pt>
                <c:pt idx="1">
                  <c:v>2023</c:v>
                </c:pt>
                <c:pt idx="2">
                  <c:v>2022</c:v>
                </c:pt>
                <c:pt idx="3">
                  <c:v>2021</c:v>
                </c:pt>
                <c:pt idx="4">
                  <c:v>2020</c:v>
                </c:pt>
                <c:pt idx="5">
                  <c:v>2019</c:v>
                </c:pt>
              </c:strCache>
            </c:strRef>
          </c:cat>
          <c:val>
            <c:numRef>
              <c:f>Costco_Data_Charts!$L$38:$L$43</c:f>
              <c:numCache>
                <c:formatCode>0.00</c:formatCode>
                <c:ptCount val="6"/>
                <c:pt idx="0">
                  <c:v>0.96565531242950597</c:v>
                </c:pt>
                <c:pt idx="1">
                  <c:v>1.06836792424739</c:v>
                </c:pt>
                <c:pt idx="2">
                  <c:v>1.02181386336646</c:v>
                </c:pt>
                <c:pt idx="3">
                  <c:v>1.00217383920383</c:v>
                </c:pt>
                <c:pt idx="4">
                  <c:v>1.1318628240219</c:v>
                </c:pt>
                <c:pt idx="5">
                  <c:v>1.0106726341610399</c:v>
                </c:pt>
              </c:numCache>
            </c:numRef>
          </c:val>
          <c:extLst>
            <c:ext xmlns:c16="http://schemas.microsoft.com/office/drawing/2014/chart" uri="{C3380CC4-5D6E-409C-BE32-E72D297353CC}">
              <c16:uniqueId val="{00000000-B700-4FD6-8782-2FA901E5ED2D}"/>
            </c:ext>
          </c:extLst>
        </c:ser>
        <c:ser>
          <c:idx val="1"/>
          <c:order val="1"/>
          <c:tx>
            <c:strRef>
              <c:f>Costco_Data_Charts!$M$37</c:f>
              <c:strCache>
                <c:ptCount val="1"/>
                <c:pt idx="0">
                  <c:v>Debt to Equity Ratio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Costco_Data_Charts!$K$38:$K$43</c:f>
              <c:strCache>
                <c:ptCount val="6"/>
                <c:pt idx="0">
                  <c:v>2024</c:v>
                </c:pt>
                <c:pt idx="1">
                  <c:v>2023</c:v>
                </c:pt>
                <c:pt idx="2">
                  <c:v>2022</c:v>
                </c:pt>
                <c:pt idx="3">
                  <c:v>2021</c:v>
                </c:pt>
                <c:pt idx="4">
                  <c:v>2020</c:v>
                </c:pt>
                <c:pt idx="5">
                  <c:v>2019</c:v>
                </c:pt>
              </c:strCache>
            </c:strRef>
          </c:cat>
          <c:val>
            <c:numRef>
              <c:f>Costco_Data_Charts!$M$38:$M$43</c:f>
              <c:numCache>
                <c:formatCode>0.00</c:formatCode>
                <c:ptCount val="6"/>
                <c:pt idx="0">
                  <c:v>1.9561849123698201</c:v>
                </c:pt>
                <c:pt idx="1">
                  <c:v>1.7533721765504</c:v>
                </c:pt>
                <c:pt idx="2">
                  <c:v>2.1082743920162801</c:v>
                </c:pt>
                <c:pt idx="3">
                  <c:v>2.3451377818264598</c:v>
                </c:pt>
                <c:pt idx="4">
                  <c:v>2.01547801356377</c:v>
                </c:pt>
                <c:pt idx="5">
                  <c:v>1.95604539788756</c:v>
                </c:pt>
              </c:numCache>
            </c:numRef>
          </c:val>
          <c:extLst>
            <c:ext xmlns:c16="http://schemas.microsoft.com/office/drawing/2014/chart" uri="{C3380CC4-5D6E-409C-BE32-E72D297353CC}">
              <c16:uniqueId val="{00000001-B700-4FD6-8782-2FA901E5ED2D}"/>
            </c:ext>
          </c:extLst>
        </c:ser>
        <c:dLbls>
          <c:showLegendKey val="0"/>
          <c:showVal val="0"/>
          <c:showCatName val="0"/>
          <c:showSerName val="0"/>
          <c:showPercent val="0"/>
          <c:showBubbleSize val="0"/>
        </c:dLbls>
        <c:gapWidth val="115"/>
        <c:overlap val="-20"/>
        <c:axId val="1886239120"/>
        <c:axId val="1886236240"/>
      </c:barChart>
      <c:catAx>
        <c:axId val="1886239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6240"/>
        <c:crosses val="autoZero"/>
        <c:auto val="1"/>
        <c:lblAlgn val="ctr"/>
        <c:lblOffset val="100"/>
        <c:noMultiLvlLbl val="0"/>
      </c:catAx>
      <c:valAx>
        <c:axId val="188623624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Ratio</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23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[Costco's Financial Report - Copy.xlsx]Costco_Data_Charts!PivotTable7</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Costco Revenue &amp; Asset Turnover (2019-2024)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Costco_Data_Charts!$B$46</c:f>
              <c:strCache>
                <c:ptCount val="1"/>
                <c:pt idx="0">
                  <c:v>Total Revenue by 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Costco_Data_Charts!$A$47:$A$52</c:f>
              <c:strCache>
                <c:ptCount val="6"/>
                <c:pt idx="0">
                  <c:v>2024</c:v>
                </c:pt>
                <c:pt idx="1">
                  <c:v>2023</c:v>
                </c:pt>
                <c:pt idx="2">
                  <c:v>2022</c:v>
                </c:pt>
                <c:pt idx="3">
                  <c:v>2021</c:v>
                </c:pt>
                <c:pt idx="4">
                  <c:v>2020</c:v>
                </c:pt>
                <c:pt idx="5">
                  <c:v>2019</c:v>
                </c:pt>
              </c:strCache>
            </c:strRef>
          </c:cat>
          <c:val>
            <c:numRef>
              <c:f>Costco_Data_Charts!$B$47:$B$52</c:f>
              <c:numCache>
                <c:formatCode>"$"#,##0</c:formatCode>
                <c:ptCount val="6"/>
                <c:pt idx="0">
                  <c:v>254453</c:v>
                </c:pt>
                <c:pt idx="1">
                  <c:v>242290</c:v>
                </c:pt>
                <c:pt idx="2">
                  <c:v>226954</c:v>
                </c:pt>
                <c:pt idx="3">
                  <c:v>195929</c:v>
                </c:pt>
                <c:pt idx="4">
                  <c:v>166761</c:v>
                </c:pt>
                <c:pt idx="5">
                  <c:v>152703</c:v>
                </c:pt>
              </c:numCache>
            </c:numRef>
          </c:val>
          <c:smooth val="0"/>
          <c:extLst>
            <c:ext xmlns:c16="http://schemas.microsoft.com/office/drawing/2014/chart" uri="{C3380CC4-5D6E-409C-BE32-E72D297353CC}">
              <c16:uniqueId val="{00000000-23B1-41EE-A766-13865B389B9F}"/>
            </c:ext>
          </c:extLst>
        </c:ser>
        <c:dLbls>
          <c:showLegendKey val="0"/>
          <c:showVal val="0"/>
          <c:showCatName val="0"/>
          <c:showSerName val="0"/>
          <c:showPercent val="0"/>
          <c:showBubbleSize val="0"/>
        </c:dLbls>
        <c:marker val="1"/>
        <c:smooth val="0"/>
        <c:axId val="647264959"/>
        <c:axId val="647265439"/>
      </c:lineChart>
      <c:lineChart>
        <c:grouping val="standard"/>
        <c:varyColors val="0"/>
        <c:ser>
          <c:idx val="1"/>
          <c:order val="1"/>
          <c:tx>
            <c:strRef>
              <c:f>Costco_Data_Charts!$C$46</c:f>
              <c:strCache>
                <c:ptCount val="1"/>
                <c:pt idx="0">
                  <c:v>Asset Turnover By 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Costco_Data_Charts!$A$47:$A$52</c:f>
              <c:strCache>
                <c:ptCount val="6"/>
                <c:pt idx="0">
                  <c:v>2024</c:v>
                </c:pt>
                <c:pt idx="1">
                  <c:v>2023</c:v>
                </c:pt>
                <c:pt idx="2">
                  <c:v>2022</c:v>
                </c:pt>
                <c:pt idx="3">
                  <c:v>2021</c:v>
                </c:pt>
                <c:pt idx="4">
                  <c:v>2020</c:v>
                </c:pt>
                <c:pt idx="5">
                  <c:v>2019</c:v>
                </c:pt>
              </c:strCache>
            </c:strRef>
          </c:cat>
          <c:val>
            <c:numRef>
              <c:f>Costco_Data_Charts!$C$47:$C$52</c:f>
              <c:numCache>
                <c:formatCode>0.00</c:formatCode>
                <c:ptCount val="6"/>
                <c:pt idx="0">
                  <c:v>3.6438401283097801</c:v>
                </c:pt>
                <c:pt idx="1">
                  <c:v>3.5117546453314801</c:v>
                </c:pt>
                <c:pt idx="2">
                  <c:v>3.53698220241249</c:v>
                </c:pt>
                <c:pt idx="3">
                  <c:v>3.3058142673955602</c:v>
                </c:pt>
                <c:pt idx="4">
                  <c:v>3.0016739866081101</c:v>
                </c:pt>
                <c:pt idx="5">
                  <c:v>3.3635022026431698</c:v>
                </c:pt>
              </c:numCache>
            </c:numRef>
          </c:val>
          <c:smooth val="0"/>
          <c:extLst>
            <c:ext xmlns:c16="http://schemas.microsoft.com/office/drawing/2014/chart" uri="{C3380CC4-5D6E-409C-BE32-E72D297353CC}">
              <c16:uniqueId val="{00000001-23B1-41EE-A766-13865B389B9F}"/>
            </c:ext>
          </c:extLst>
        </c:ser>
        <c:dLbls>
          <c:showLegendKey val="0"/>
          <c:showVal val="0"/>
          <c:showCatName val="0"/>
          <c:showSerName val="0"/>
          <c:showPercent val="0"/>
          <c:showBubbleSize val="0"/>
        </c:dLbls>
        <c:marker val="1"/>
        <c:smooth val="0"/>
        <c:axId val="647283199"/>
        <c:axId val="647276479"/>
      </c:lineChart>
      <c:catAx>
        <c:axId val="64726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65439"/>
        <c:crosses val="autoZero"/>
        <c:auto val="1"/>
        <c:lblAlgn val="ctr"/>
        <c:lblOffset val="100"/>
        <c:noMultiLvlLbl val="0"/>
      </c:catAx>
      <c:valAx>
        <c:axId val="6472654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Total Revenue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64959"/>
        <c:crosses val="autoZero"/>
        <c:crossBetween val="between"/>
      </c:valAx>
      <c:valAx>
        <c:axId val="647276479"/>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Asset Turnover</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7283199"/>
        <c:crosses val="max"/>
        <c:crossBetween val="between"/>
      </c:valAx>
      <c:catAx>
        <c:axId val="647283199"/>
        <c:scaling>
          <c:orientation val="minMax"/>
        </c:scaling>
        <c:delete val="1"/>
        <c:axPos val="b"/>
        <c:numFmt formatCode="General" sourceLinked="1"/>
        <c:majorTickMark val="none"/>
        <c:minorTickMark val="none"/>
        <c:tickLblPos val="nextTo"/>
        <c:crossAx val="6472764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95250</xdr:colOff>
      <xdr:row>10</xdr:row>
      <xdr:rowOff>42861</xdr:rowOff>
    </xdr:from>
    <xdr:to>
      <xdr:col>4</xdr:col>
      <xdr:colOff>1171575</xdr:colOff>
      <xdr:row>33</xdr:row>
      <xdr:rowOff>76200</xdr:rowOff>
    </xdr:to>
    <xdr:graphicFrame macro="">
      <xdr:nvGraphicFramePr>
        <xdr:cNvPr id="2" name="Chart 1">
          <a:extLst>
            <a:ext uri="{FF2B5EF4-FFF2-40B4-BE49-F238E27FC236}">
              <a16:creationId xmlns:a16="http://schemas.microsoft.com/office/drawing/2014/main" id="{B54CE3AB-CBA6-BDCF-8727-19A7A4BF8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581024</xdr:colOff>
      <xdr:row>9</xdr:row>
      <xdr:rowOff>185736</xdr:rowOff>
    </xdr:from>
    <xdr:to>
      <xdr:col>10</xdr:col>
      <xdr:colOff>1362074</xdr:colOff>
      <xdr:row>33</xdr:row>
      <xdr:rowOff>95249</xdr:rowOff>
    </xdr:to>
    <xdr:graphicFrame macro="">
      <xdr:nvGraphicFramePr>
        <xdr:cNvPr id="4" name="Chart 3">
          <a:extLst>
            <a:ext uri="{FF2B5EF4-FFF2-40B4-BE49-F238E27FC236}">
              <a16:creationId xmlns:a16="http://schemas.microsoft.com/office/drawing/2014/main" id="{B1AE4723-A00A-DF7C-BA1B-96FE108E5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1781174</xdr:colOff>
      <xdr:row>10</xdr:row>
      <xdr:rowOff>14286</xdr:rowOff>
    </xdr:from>
    <xdr:to>
      <xdr:col>15</xdr:col>
      <xdr:colOff>533400</xdr:colOff>
      <xdr:row>33</xdr:row>
      <xdr:rowOff>95250</xdr:rowOff>
    </xdr:to>
    <xdr:graphicFrame macro="">
      <xdr:nvGraphicFramePr>
        <xdr:cNvPr id="3" name="Chart 2">
          <a:extLst>
            <a:ext uri="{FF2B5EF4-FFF2-40B4-BE49-F238E27FC236}">
              <a16:creationId xmlns:a16="http://schemas.microsoft.com/office/drawing/2014/main" id="{8D3AA19F-CFE3-0CAC-8D7C-CAC6B8DCF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xdr:colOff>
      <xdr:row>43</xdr:row>
      <xdr:rowOff>157162</xdr:rowOff>
    </xdr:from>
    <xdr:to>
      <xdr:col>17</xdr:col>
      <xdr:colOff>266700</xdr:colOff>
      <xdr:row>65</xdr:row>
      <xdr:rowOff>133350</xdr:rowOff>
    </xdr:to>
    <xdr:graphicFrame macro="">
      <xdr:nvGraphicFramePr>
        <xdr:cNvPr id="6" name="Chart 5">
          <a:extLst>
            <a:ext uri="{FF2B5EF4-FFF2-40B4-BE49-F238E27FC236}">
              <a16:creationId xmlns:a16="http://schemas.microsoft.com/office/drawing/2014/main" id="{779597F9-7767-304C-E274-C7B392CA2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194163</xdr:colOff>
      <xdr:row>55</xdr:row>
      <xdr:rowOff>137746</xdr:rowOff>
    </xdr:from>
    <xdr:to>
      <xdr:col>4</xdr:col>
      <xdr:colOff>205154</xdr:colOff>
      <xdr:row>71</xdr:row>
      <xdr:rowOff>131884</xdr:rowOff>
    </xdr:to>
    <xdr:graphicFrame macro="">
      <xdr:nvGraphicFramePr>
        <xdr:cNvPr id="15" name="Chart 14">
          <a:extLst>
            <a:ext uri="{FF2B5EF4-FFF2-40B4-BE49-F238E27FC236}">
              <a16:creationId xmlns:a16="http://schemas.microsoft.com/office/drawing/2014/main" id="{57C62772-D80C-31E1-4CC4-3E92EC2C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4</xdr:row>
      <xdr:rowOff>28574</xdr:rowOff>
    </xdr:from>
    <xdr:to>
      <xdr:col>3</xdr:col>
      <xdr:colOff>123825</xdr:colOff>
      <xdr:row>15</xdr:row>
      <xdr:rowOff>142875</xdr:rowOff>
    </xdr:to>
    <mc:AlternateContent xmlns:mc="http://schemas.openxmlformats.org/markup-compatibility/2006">
      <mc:Choice xmlns:a14="http://schemas.microsoft.com/office/drawing/2010/main" Requires="a14">
        <xdr:graphicFrame macro="">
          <xdr:nvGraphicFramePr>
            <xdr:cNvPr id="5" name="Companies">
              <a:extLst>
                <a:ext uri="{FF2B5EF4-FFF2-40B4-BE49-F238E27FC236}">
                  <a16:creationId xmlns:a16="http://schemas.microsoft.com/office/drawing/2014/main" id="{A3B80644-4823-D627-9E2F-7FDC1EE474C9}"/>
                </a:ext>
              </a:extLst>
            </xdr:cNvPr>
            <xdr:cNvGraphicFramePr/>
          </xdr:nvGraphicFramePr>
          <xdr:xfrm>
            <a:off x="0" y="0"/>
            <a:ext cx="0" cy="0"/>
          </xdr:xfrm>
          <a:graphic>
            <a:graphicData uri="http://schemas.microsoft.com/office/drawing/2010/slicer">
              <sle:slicer xmlns:sle="http://schemas.microsoft.com/office/drawing/2010/slicer" name="Companies"/>
            </a:graphicData>
          </a:graphic>
        </xdr:graphicFrame>
      </mc:Choice>
      <mc:Fallback>
        <xdr:sp macro="" textlink="">
          <xdr:nvSpPr>
            <xdr:cNvPr id="0" name=""/>
            <xdr:cNvSpPr>
              <a:spLocks noTextEdit="1"/>
            </xdr:cNvSpPr>
          </xdr:nvSpPr>
          <xdr:spPr>
            <a:xfrm>
              <a:off x="123825" y="790574"/>
              <a:ext cx="1828800" cy="220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16</xdr:row>
      <xdr:rowOff>19048</xdr:rowOff>
    </xdr:from>
    <xdr:to>
      <xdr:col>3</xdr:col>
      <xdr:colOff>114300</xdr:colOff>
      <xdr:row>28</xdr:row>
      <xdr:rowOff>76200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2A7752E4-9419-A7C0-210C-CA9FE4E8459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4300" y="3067048"/>
              <a:ext cx="1828800" cy="2343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28</xdr:row>
      <xdr:rowOff>123824</xdr:rowOff>
    </xdr:from>
    <xdr:to>
      <xdr:col>9</xdr:col>
      <xdr:colOff>581024</xdr:colOff>
      <xdr:row>51</xdr:row>
      <xdr:rowOff>38099</xdr:rowOff>
    </xdr:to>
    <xdr:graphicFrame macro="">
      <xdr:nvGraphicFramePr>
        <xdr:cNvPr id="7" name="Chart 6">
          <a:extLst>
            <a:ext uri="{FF2B5EF4-FFF2-40B4-BE49-F238E27FC236}">
              <a16:creationId xmlns:a16="http://schemas.microsoft.com/office/drawing/2014/main" id="{D758060C-9905-48AF-87BE-A4F953C50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28</xdr:row>
      <xdr:rowOff>123825</xdr:rowOff>
    </xdr:from>
    <xdr:to>
      <xdr:col>19</xdr:col>
      <xdr:colOff>428625</xdr:colOff>
      <xdr:row>51</xdr:row>
      <xdr:rowOff>33339</xdr:rowOff>
    </xdr:to>
    <xdr:graphicFrame macro="">
      <xdr:nvGraphicFramePr>
        <xdr:cNvPr id="2" name="Chart 1">
          <a:extLst>
            <a:ext uri="{FF2B5EF4-FFF2-40B4-BE49-F238E27FC236}">
              <a16:creationId xmlns:a16="http://schemas.microsoft.com/office/drawing/2014/main" id="{9F9878E4-C164-4DBA-97FA-C6BE7AD3E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495300</xdr:colOff>
      <xdr:row>28</xdr:row>
      <xdr:rowOff>114300</xdr:rowOff>
    </xdr:from>
    <xdr:to>
      <xdr:col>31</xdr:col>
      <xdr:colOff>9526</xdr:colOff>
      <xdr:row>51</xdr:row>
      <xdr:rowOff>42863</xdr:rowOff>
    </xdr:to>
    <xdr:graphicFrame macro="">
      <xdr:nvGraphicFramePr>
        <xdr:cNvPr id="3" name="Chart 2">
          <a:extLst>
            <a:ext uri="{FF2B5EF4-FFF2-40B4-BE49-F238E27FC236}">
              <a16:creationId xmlns:a16="http://schemas.microsoft.com/office/drawing/2014/main" id="{79C87864-3AA7-4C9F-834D-4B8188BF3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266701</xdr:colOff>
      <xdr:row>4</xdr:row>
      <xdr:rowOff>76200</xdr:rowOff>
    </xdr:from>
    <xdr:to>
      <xdr:col>17</xdr:col>
      <xdr:colOff>381001</xdr:colOff>
      <xdr:row>12</xdr:row>
      <xdr:rowOff>45057</xdr:rowOff>
    </xdr:to>
    <xdr:pic>
      <xdr:nvPicPr>
        <xdr:cNvPr id="10" name="Picture 9">
          <a:extLst>
            <a:ext uri="{FF2B5EF4-FFF2-40B4-BE49-F238E27FC236}">
              <a16:creationId xmlns:a16="http://schemas.microsoft.com/office/drawing/2014/main" id="{F4D105EE-82AD-60A3-7328-40963D4A0C5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95501" y="838200"/>
          <a:ext cx="8648700" cy="1492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581025</xdr:colOff>
      <xdr:row>4</xdr:row>
      <xdr:rowOff>66675</xdr:rowOff>
    </xdr:from>
    <xdr:to>
      <xdr:col>31</xdr:col>
      <xdr:colOff>19050</xdr:colOff>
      <xdr:row>28</xdr:row>
      <xdr:rowOff>66675</xdr:rowOff>
    </xdr:to>
    <xdr:graphicFrame macro="">
      <xdr:nvGraphicFramePr>
        <xdr:cNvPr id="12" name="Chart 11">
          <a:extLst>
            <a:ext uri="{FF2B5EF4-FFF2-40B4-BE49-F238E27FC236}">
              <a16:creationId xmlns:a16="http://schemas.microsoft.com/office/drawing/2014/main" id="{72FBDB41-5FAF-43DC-B19E-E9175E21A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276225</xdr:colOff>
      <xdr:row>12</xdr:row>
      <xdr:rowOff>95250</xdr:rowOff>
    </xdr:from>
    <xdr:to>
      <xdr:col>17</xdr:col>
      <xdr:colOff>504825</xdr:colOff>
      <xdr:row>28</xdr:row>
      <xdr:rowOff>89388</xdr:rowOff>
    </xdr:to>
    <xdr:graphicFrame macro="">
      <xdr:nvGraphicFramePr>
        <xdr:cNvPr id="13" name="Chart 12">
          <a:extLst>
            <a:ext uri="{FF2B5EF4-FFF2-40B4-BE49-F238E27FC236}">
              <a16:creationId xmlns:a16="http://schemas.microsoft.com/office/drawing/2014/main" id="{53F4033D-8913-401F-B8B6-051907F17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Chao" refreshedDate="45776.879396990742" backgroundQuery="1" createdVersion="8" refreshedVersion="8" minRefreshableVersion="3" recordCount="6" xr:uid="{5B59D733-C367-4419-8D65-F18A6E554F95}">
  <cacheSource type="external" connectionId="5"/>
  <cacheFields count="19">
    <cacheField name="Company_Name" numFmtId="0">
      <sharedItems count="1">
        <s v="Costco"/>
      </sharedItems>
    </cacheField>
    <cacheField name="Year" numFmtId="0">
      <sharedItems containsSemiMixedTypes="0" containsString="0" containsNumber="1" containsInteger="1" minValue="2019" maxValue="2024" count="6">
        <n v="2024"/>
        <n v="2023"/>
        <n v="2022"/>
        <n v="2021"/>
        <n v="2020"/>
        <n v="2019"/>
      </sharedItems>
    </cacheField>
    <cacheField name="Current Assets" numFmtId="0">
      <sharedItems containsSemiMixedTypes="0" containsString="0" containsNumber="1" containsInteger="1" minValue="23485" maxValue="35879" count="6">
        <n v="34246"/>
        <n v="35879"/>
        <n v="32696"/>
        <n v="29505"/>
        <n v="28120"/>
        <n v="23485"/>
      </sharedItems>
    </cacheField>
    <cacheField name="Total Assets" numFmtId="0">
      <sharedItems containsSemiMixedTypes="0" containsString="0" containsNumber="1" containsInteger="1" minValue="45400" maxValue="69831" count="6">
        <n v="69831"/>
        <n v="68994"/>
        <n v="64166"/>
        <n v="59268"/>
        <n v="55556"/>
        <n v="45400"/>
      </sharedItems>
    </cacheField>
    <cacheField name="Current Liabilities" numFmtId="0">
      <sharedItems containsSemiMixedTypes="0" containsString="0" containsNumber="1" containsInteger="1" minValue="23237" maxValue="35464" count="6">
        <n v="35464"/>
        <n v="33583"/>
        <n v="31998"/>
        <n v="29441"/>
        <n v="24844"/>
        <n v="23237"/>
      </sharedItems>
    </cacheField>
    <cacheField name="Total Liabilities" numFmtId="0">
      <sharedItems containsSemiMixedTypes="0" containsString="0" containsNumber="1" containsInteger="1" minValue="29816" maxValue="46209" count="6">
        <n v="46209"/>
        <n v="43936"/>
        <n v="43519"/>
        <n v="41190"/>
        <n v="36851"/>
        <n v="29816"/>
      </sharedItems>
    </cacheField>
    <cacheField name="Total Revenue" numFmtId="0">
      <sharedItems containsSemiMixedTypes="0" containsString="0" containsNumber="1" containsInteger="1" minValue="152703" maxValue="254453" count="6">
        <n v="254453"/>
        <n v="242290"/>
        <n v="226954"/>
        <n v="195929"/>
        <n v="166761"/>
        <n v="152703"/>
      </sharedItems>
    </cacheField>
    <cacheField name="Net Income" numFmtId="0">
      <sharedItems containsSemiMixedTypes="0" containsString="0" containsNumber="1" containsInteger="1" minValue="3659" maxValue="7367" count="6">
        <n v="7367"/>
        <n v="6292"/>
        <n v="5844"/>
        <n v="5007"/>
        <n v="4002"/>
        <n v="3659"/>
      </sharedItems>
    </cacheField>
    <cacheField name="Operating Cash Flow" numFmtId="0">
      <sharedItems containsSemiMixedTypes="0" containsString="0" containsNumber="1" containsInteger="1" minValue="6356" maxValue="11339" count="6">
        <n v="11339"/>
        <n v="11068"/>
        <n v="7392"/>
        <n v="8958"/>
        <n v="8861"/>
        <n v="6356"/>
      </sharedItems>
    </cacheField>
    <cacheField name="Capital Expenditures" numFmtId="0">
      <sharedItems containsSemiMixedTypes="0" containsString="0" containsNumber="1" containsInteger="1" minValue="-4710" maxValue="-2810" count="6">
        <n v="-4710"/>
        <n v="-4323"/>
        <n v="-3891"/>
        <n v="-3588"/>
        <n v="-2810"/>
        <n v="-2998"/>
      </sharedItems>
    </cacheField>
    <cacheField name="Shareholder's Equity" numFmtId="0">
      <sharedItems containsSemiMixedTypes="0" containsString="0" containsNumber="1" containsInteger="1" minValue="15243" maxValue="25058" count="6">
        <n v="23622"/>
        <n v="25058"/>
        <n v="20642"/>
        <n v="17564"/>
        <n v="18284"/>
        <n v="15243"/>
      </sharedItems>
    </cacheField>
    <cacheField name="Net Profit Margin" numFmtId="0">
      <sharedItems containsSemiMixedTypes="0" containsString="0" containsNumber="1" minValue="2.3961546269555899E-2" maxValue="2.8952301603832501E-2" count="6">
        <n v="2.8952301603832501E-2"/>
        <n v="2.5968880267448102E-2"/>
        <n v="2.5749711395260701E-2"/>
        <n v="2.5555175599324201E-2"/>
        <n v="2.3998416896036798E-2"/>
        <n v="2.3961546269555899E-2"/>
      </sharedItems>
    </cacheField>
    <cacheField name="Return on Assets" numFmtId="0">
      <sharedItems containsSemiMixedTypes="0" containsString="0" containsNumber="1" minValue="7.20354237166103E-2" maxValue="0.105497558390972" count="6">
        <n v="0.105497558390972"/>
        <n v="9.1196335913267798E-2"/>
        <n v="9.1076270922295297E-2"/>
        <n v="8.4480664102044994E-2"/>
        <n v="7.20354237166103E-2"/>
        <n v="8.0594713656387706E-2"/>
      </sharedItems>
    </cacheField>
    <cacheField name="Return on Equity" numFmtId="0">
      <sharedItems containsSemiMixedTypes="0" containsString="0" containsNumber="1" minValue="0.21887989499015501" maxValue="0.31187029040724801" count="6">
        <n v="0.31187029040724801"/>
        <n v="0.251097453906936"/>
        <n v="0.283112101540548"/>
        <n v="0.28507173764518301"/>
        <n v="0.21887989499015501"/>
        <n v="0.24004461064095001"/>
      </sharedItems>
    </cacheField>
    <cacheField name="Working Capital" numFmtId="0">
      <sharedItems containsSemiMixedTypes="0" containsString="0" containsNumber="1" containsInteger="1" minValue="-1218" maxValue="3276" count="6">
        <n v="-1218"/>
        <n v="2296"/>
        <n v="698"/>
        <n v="64"/>
        <n v="3276"/>
        <n v="248"/>
      </sharedItems>
    </cacheField>
    <cacheField name="Current-Ratio" numFmtId="0">
      <sharedItems containsSemiMixedTypes="0" containsString="0" containsNumber="1" minValue="0.96565531242950597" maxValue="1.1318628240219" count="6">
        <n v="0.96565531242950597"/>
        <n v="1.06836792424739"/>
        <n v="1.02181386336646"/>
        <n v="1.00217383920383"/>
        <n v="1.1318628240219"/>
        <n v="1.0106726341610399"/>
      </sharedItems>
    </cacheField>
    <cacheField name="Debt-to-Equity Ratio" numFmtId="0">
      <sharedItems containsSemiMixedTypes="0" containsString="0" containsNumber="1" minValue="1.7533721765504" maxValue="2.3451377818264598" count="6">
        <n v="1.9561849123698201"/>
        <n v="1.7533721765504"/>
        <n v="2.1082743920162801"/>
        <n v="2.3451377818264598"/>
        <n v="2.01547801356377"/>
        <n v="1.95604539788756"/>
      </sharedItems>
    </cacheField>
    <cacheField name="Asset Turnover" numFmtId="0">
      <sharedItems containsSemiMixedTypes="0" containsString="0" containsNumber="1" minValue="3.0016739866081101" maxValue="3.6438401283097801" count="6">
        <n v="3.6438401283097801"/>
        <n v="3.5117546453314801"/>
        <n v="3.53698220241249"/>
        <n v="3.3058142673955602"/>
        <n v="3.0016739866081101"/>
        <n v="3.3635022026431698"/>
      </sharedItems>
    </cacheField>
    <cacheField name="Free Cash Flow" numFmtId="0">
      <sharedItems containsSemiMixedTypes="0" containsString="0" containsNumber="1" containsInteger="1" minValue="9354" maxValue="16049" count="6">
        <n v="16049"/>
        <n v="15391"/>
        <n v="11283"/>
        <n v="12546"/>
        <n v="11671"/>
        <n v="9354"/>
      </sharedItems>
    </cacheField>
  </cacheFields>
  <extLst>
    <ext xmlns:x14="http://schemas.microsoft.com/office/spreadsheetml/2009/9/main" uri="{725AE2AE-9491-48be-B2B4-4EB974FC3084}">
      <x14:pivotCacheDefinition pivotCacheId="1453874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x v="0"/>
    <x v="0"/>
    <x v="0"/>
    <x v="0"/>
    <x v="0"/>
    <x v="0"/>
    <x v="0"/>
    <x v="0"/>
    <x v="0"/>
    <x v="0"/>
    <x v="0"/>
    <x v="0"/>
  </r>
  <r>
    <x v="0"/>
    <x v="1"/>
    <x v="1"/>
    <x v="1"/>
    <x v="1"/>
    <x v="1"/>
    <x v="1"/>
    <x v="1"/>
    <x v="1"/>
    <x v="1"/>
    <x v="1"/>
    <x v="1"/>
    <x v="1"/>
    <x v="1"/>
    <x v="1"/>
    <x v="1"/>
    <x v="1"/>
    <x v="1"/>
    <x v="1"/>
  </r>
  <r>
    <x v="0"/>
    <x v="2"/>
    <x v="2"/>
    <x v="2"/>
    <x v="2"/>
    <x v="2"/>
    <x v="2"/>
    <x v="2"/>
    <x v="2"/>
    <x v="2"/>
    <x v="2"/>
    <x v="2"/>
    <x v="2"/>
    <x v="2"/>
    <x v="2"/>
    <x v="2"/>
    <x v="2"/>
    <x v="2"/>
    <x v="2"/>
  </r>
  <r>
    <x v="0"/>
    <x v="3"/>
    <x v="3"/>
    <x v="3"/>
    <x v="3"/>
    <x v="3"/>
    <x v="3"/>
    <x v="3"/>
    <x v="3"/>
    <x v="3"/>
    <x v="3"/>
    <x v="3"/>
    <x v="3"/>
    <x v="3"/>
    <x v="3"/>
    <x v="3"/>
    <x v="3"/>
    <x v="3"/>
    <x v="3"/>
  </r>
  <r>
    <x v="0"/>
    <x v="4"/>
    <x v="4"/>
    <x v="4"/>
    <x v="4"/>
    <x v="4"/>
    <x v="4"/>
    <x v="4"/>
    <x v="4"/>
    <x v="4"/>
    <x v="4"/>
    <x v="4"/>
    <x v="4"/>
    <x v="4"/>
    <x v="4"/>
    <x v="4"/>
    <x v="4"/>
    <x v="4"/>
    <x v="4"/>
  </r>
  <r>
    <x v="0"/>
    <x v="5"/>
    <x v="5"/>
    <x v="5"/>
    <x v="5"/>
    <x v="5"/>
    <x v="5"/>
    <x v="5"/>
    <x v="5"/>
    <x v="5"/>
    <x v="5"/>
    <x v="5"/>
    <x v="5"/>
    <x v="5"/>
    <x v="5"/>
    <x v="5"/>
    <x v="5"/>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ACA7A6-EF26-42C4-BFA2-581F07B0B6E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fieldListSortAscending="1">
  <location ref="A46:C52" firstHeaderRow="0" firstDataRow="1" firstDataCol="1"/>
  <pivotFields count="19">
    <pivotField showAll="0">
      <items count="2">
        <item x="0"/>
        <item t="default"/>
      </items>
    </pivotField>
    <pivotField axis="axisRow" showAll="0" sortType="descending">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7">
        <item x="4"/>
        <item x="5"/>
        <item x="1"/>
        <item x="2"/>
        <item x="3"/>
        <item x="0"/>
        <item t="default"/>
      </items>
    </pivotField>
    <pivotField showAll="0"/>
    <pivotField showAll="0"/>
    <pivotField showAll="0"/>
    <pivotField dataField="1" showAll="0"/>
    <pivotField showAll="0"/>
  </pivotFields>
  <rowFields count="1">
    <field x="1"/>
  </rowFields>
  <rowItems count="6">
    <i>
      <x/>
    </i>
    <i>
      <x v="1"/>
    </i>
    <i>
      <x v="2"/>
    </i>
    <i>
      <x v="3"/>
    </i>
    <i>
      <x v="4"/>
    </i>
    <i>
      <x v="5"/>
    </i>
  </rowItems>
  <colFields count="1">
    <field x="-2"/>
  </colFields>
  <colItems count="2">
    <i>
      <x/>
    </i>
    <i i="1">
      <x v="1"/>
    </i>
  </colItems>
  <dataFields count="2">
    <dataField name="Total Revenue by Year" fld="6" baseField="0" baseItem="0" numFmtId="164"/>
    <dataField name="Asset Turnover By Year" fld="17" baseField="0" baseItem="0"/>
  </dataFields>
  <formats count="2">
    <format dxfId="24">
      <pivotArea outline="0" collapsedLevelsAreSubtotals="1" fieldPosition="0"/>
    </format>
    <format dxfId="1">
      <pivotArea outline="0" collapsedLevelsAreSubtotals="1" fieldPosition="0">
        <references count="1">
          <reference field="4294967294" count="1" selected="0">
            <x v="0"/>
          </reference>
        </references>
      </pivotArea>
    </format>
  </formats>
  <chartFormats count="14">
    <chartFormat chart="32" format="5"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1"/>
          </reference>
        </references>
      </pivotArea>
    </chartFormat>
    <chartFormat chart="30" format="6" series="1">
      <pivotArea type="data" outline="0" fieldPosition="0">
        <references count="1">
          <reference field="4294967294" count="1" selected="0">
            <x v="1"/>
          </reference>
        </references>
      </pivotArea>
    </chartFormat>
    <chartFormat chart="29" format="6" series="1">
      <pivotArea type="data" outline="0" fieldPosition="0">
        <references count="1">
          <reference field="4294967294"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Dark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9D95D1-FD9E-4DE1-B7CD-1B8E87E1263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fieldListSortAscending="1">
  <location ref="K37:M43" firstHeaderRow="0" firstDataRow="1" firstDataCol="1"/>
  <pivotFields count="19">
    <pivotField showAll="0">
      <items count="2">
        <item x="0"/>
        <item t="default"/>
      </items>
    </pivotField>
    <pivotField axis="axisRow" showAll="0" sortType="descending">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4"/>
        <item x="5"/>
        <item x="1"/>
        <item x="2"/>
        <item x="3"/>
        <item x="0"/>
        <item t="default"/>
      </items>
    </pivotField>
    <pivotField showAll="0"/>
    <pivotField dataField="1" showAll="0"/>
    <pivotField dataField="1" showAll="0"/>
    <pivotField showAll="0"/>
    <pivotField showAll="0"/>
  </pivotFields>
  <rowFields count="1">
    <field x="1"/>
  </rowFields>
  <rowItems count="6">
    <i>
      <x/>
    </i>
    <i>
      <x v="1"/>
    </i>
    <i>
      <x v="2"/>
    </i>
    <i>
      <x v="3"/>
    </i>
    <i>
      <x v="4"/>
    </i>
    <i>
      <x v="5"/>
    </i>
  </rowItems>
  <colFields count="1">
    <field x="-2"/>
  </colFields>
  <colItems count="2">
    <i>
      <x/>
    </i>
    <i i="1">
      <x v="1"/>
    </i>
  </colItems>
  <dataFields count="2">
    <dataField name="Current Ratio" fld="15" baseField="0" baseItem="0"/>
    <dataField name="Debt to Equity Ratio" fld="16" baseField="1" baseItem="0"/>
  </dataFields>
  <formats count="1">
    <format dxfId="29">
      <pivotArea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Dark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F4A263-4C94-458B-8915-025B1C4243E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fieldListSortAscending="1">
  <location ref="A37:E43" firstHeaderRow="0" firstDataRow="1" firstDataCol="1" rowPageCount="1" colPageCount="1"/>
  <pivotFields count="19">
    <pivotField axis="axisPage" showAll="0">
      <items count="2">
        <item x="0"/>
        <item t="default"/>
      </items>
    </pivotField>
    <pivotField axis="axisRow" showAll="0">
      <items count="7">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items count="7">
        <item x="4"/>
        <item x="5"/>
        <item x="1"/>
        <item x="2"/>
        <item x="3"/>
        <item x="0"/>
        <item t="default"/>
      </items>
    </pivotField>
    <pivotField showAll="0"/>
    <pivotField dataField="1" showAll="0"/>
    <pivotField dataField="1" showAll="0"/>
    <pivotField showAll="0"/>
    <pivotField showAll="0"/>
  </pivotFields>
  <rowFields count="1">
    <field x="1"/>
  </rowFields>
  <rowItems count="6">
    <i>
      <x/>
    </i>
    <i>
      <x v="1"/>
    </i>
    <i>
      <x v="2"/>
    </i>
    <i>
      <x v="3"/>
    </i>
    <i>
      <x v="4"/>
    </i>
    <i>
      <x v="5"/>
    </i>
  </rowItems>
  <colFields count="1">
    <field x="-2"/>
  </colFields>
  <colItems count="4">
    <i>
      <x/>
    </i>
    <i i="1">
      <x v="1"/>
    </i>
    <i i="2">
      <x v="2"/>
    </i>
    <i i="3">
      <x v="3"/>
    </i>
  </colItems>
  <pageFields count="1">
    <pageField fld="0" hier="-1"/>
  </pageFields>
  <dataFields count="4">
    <dataField name="ROE" fld="13" baseField="0" baseItem="0" numFmtId="10"/>
    <dataField name="Current Ratio" fld="15" baseField="0" baseItem="0" numFmtId="2"/>
    <dataField name="Debt to Equity Ratio" fld="16" baseField="0" baseItem="0" numFmtId="2"/>
    <dataField name="Net Margin" fld="11" baseField="0" baseItem="0" numFmtId="10"/>
  </dataFields>
  <formats count="5">
    <format dxfId="36">
      <pivotArea collapsedLevelsAreSubtotals="1" fieldPosition="0">
        <references count="1">
          <reference field="1" count="0"/>
        </references>
      </pivotArea>
    </format>
    <format dxfId="37">
      <pivotArea outline="0" collapsedLevelsAreSubtotals="1" fieldPosition="0"/>
    </format>
    <format dxfId="38">
      <pivotArea outline="0" collapsedLevelsAreSubtotals="1" fieldPosition="0">
        <references count="1">
          <reference field="4294967294" count="1" selected="0">
            <x v="0"/>
          </reference>
        </references>
      </pivotArea>
    </format>
    <format dxfId="39">
      <pivotArea outline="0" collapsedLevelsAreSubtotals="1" fieldPosition="0">
        <references count="1">
          <reference field="4294967294" count="1" selected="0">
            <x v="3"/>
          </reference>
        </references>
      </pivotArea>
    </format>
    <format dxfId="40">
      <pivotArea outline="0" collapsedLevelsAreSubtotals="1" fieldPosition="0">
        <references count="1">
          <reference field="4294967294" count="2" selected="0">
            <x v="1"/>
            <x v="2"/>
          </reference>
        </references>
      </pivotArea>
    </format>
  </formats>
  <pivotTableStyleInfo name="PivotStyleDark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106266-52E9-4957-872B-069A55CCC0D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fieldListSortAscending="1">
  <location ref="J1:L7" firstHeaderRow="0" firstDataRow="1" firstDataCol="1"/>
  <pivotFields count="19">
    <pivotField showAll="0">
      <items count="2">
        <item x="0"/>
        <item t="default"/>
      </items>
    </pivotField>
    <pivotField axis="axisRow" showAll="0">
      <items count="7">
        <item x="5"/>
        <item x="4"/>
        <item x="3"/>
        <item x="2"/>
        <item x="1"/>
        <item x="0"/>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items count="7">
        <item x="4"/>
        <item x="5"/>
        <item x="1"/>
        <item x="2"/>
        <item x="3"/>
        <item x="0"/>
        <item t="default"/>
      </items>
    </pivotField>
    <pivotField showAll="0"/>
    <pivotField showAll="0"/>
    <pivotField showAll="0"/>
    <pivotField showAll="0"/>
    <pivotField showAll="0"/>
  </pivotFields>
  <rowFields count="1">
    <field x="1"/>
  </rowFields>
  <rowItems count="6">
    <i>
      <x/>
    </i>
    <i>
      <x v="1"/>
    </i>
    <i>
      <x v="2"/>
    </i>
    <i>
      <x v="3"/>
    </i>
    <i>
      <x v="4"/>
    </i>
    <i>
      <x v="5"/>
    </i>
  </rowItems>
  <colFields count="1">
    <field x="-2"/>
  </colFields>
  <colItems count="2">
    <i>
      <x/>
    </i>
    <i i="1">
      <x v="1"/>
    </i>
  </colItems>
  <dataFields count="2">
    <dataField name="Sum of Operating Cash Flow" fld="8" baseField="0" baseItem="0"/>
    <dataField name="Sum of Capital Expenditures" fld="9" baseField="0" baseItem="0"/>
  </dataFields>
  <formats count="2">
    <format dxfId="34">
      <pivotArea collapsedLevelsAreSubtotals="1" fieldPosition="0">
        <references count="1">
          <reference field="1" count="0"/>
        </references>
      </pivotArea>
    </format>
    <format dxfId="35">
      <pivotArea outline="0" collapsedLevelsAreSubtotals="1" fieldPosition="0"/>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Dark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A9DE74-2588-4860-8042-E55890386DA6}"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fieldListSortAscending="1">
  <location ref="F1:H7" firstHeaderRow="0" firstDataRow="1" firstDataCol="1"/>
  <pivotFields count="19">
    <pivotField showAll="0">
      <items count="2">
        <item x="0"/>
        <item t="default"/>
      </items>
    </pivotField>
    <pivotField axis="axisRow" showAll="0">
      <items count="7">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items count="7">
        <item x="4"/>
        <item x="5"/>
        <item x="1"/>
        <item x="2"/>
        <item x="3"/>
        <item x="0"/>
        <item t="default"/>
      </items>
    </pivotField>
    <pivotField showAll="0"/>
    <pivotField showAll="0"/>
    <pivotField showAll="0"/>
    <pivotField showAll="0"/>
    <pivotField showAll="0"/>
  </pivotFields>
  <rowFields count="1">
    <field x="1"/>
  </rowFields>
  <rowItems count="6">
    <i>
      <x/>
    </i>
    <i>
      <x v="1"/>
    </i>
    <i>
      <x v="2"/>
    </i>
    <i>
      <x v="3"/>
    </i>
    <i>
      <x v="4"/>
    </i>
    <i>
      <x v="5"/>
    </i>
  </rowItems>
  <colFields count="1">
    <field x="-2"/>
  </colFields>
  <colItems count="2">
    <i>
      <x/>
    </i>
    <i i="1">
      <x v="1"/>
    </i>
  </colItems>
  <dataFields count="2">
    <dataField name="ROA" fld="12" baseField="0" baseItem="0"/>
    <dataField name="ROE" fld="13" baseField="0" baseItem="0"/>
  </dataFields>
  <formats count="1">
    <format dxfId="33">
      <pivotArea collapsedLevelsAreSubtotals="1" fieldPosition="0">
        <references count="1">
          <reference field="1" count="0"/>
        </references>
      </pivotArea>
    </format>
  </format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Dark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38C0BB-2B9E-47E6-BD87-9991D588E656}"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fieldListSortAscending="1">
  <location ref="A3:C9" firstHeaderRow="0" firstDataRow="1" firstDataCol="1"/>
  <pivotFields count="19">
    <pivotField showAll="0">
      <items count="2">
        <item x="0"/>
        <item t="default"/>
      </items>
    </pivotField>
    <pivotField axis="axisRow" showAll="0">
      <items count="7">
        <item x="5"/>
        <item x="4"/>
        <item x="3"/>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x v="5"/>
    </i>
  </rowItems>
  <colFields count="1">
    <field x="-2"/>
  </colFields>
  <colItems count="2">
    <i>
      <x/>
    </i>
    <i i="1">
      <x v="1"/>
    </i>
  </colItems>
  <dataFields count="2">
    <dataField name="Yearly Net Income" fld="7" baseField="0" baseItem="0"/>
    <dataField name="Cash Flow" fld="18" baseField="0" baseItem="0"/>
  </dataFields>
  <formats count="1">
    <format dxfId="32">
      <pivotArea collapsedLevelsAreSubtotals="1" fieldPosition="0">
        <references count="1">
          <reference field="1" count="0"/>
        </references>
      </pivotArea>
    </format>
  </formats>
  <chartFormats count="4">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D06C5F-1D50-4C77-8355-66718DA90625}" sourceName="Year">
  <pivotTables>
    <pivotTable tabId="4" name="PivotTable25"/>
    <pivotTable tabId="4" name="PivotTable26"/>
    <pivotTable tabId="4" name="PivotTable1"/>
    <pivotTable tabId="4" name="PivotTable2"/>
    <pivotTable tabId="4" name="PivotTable6"/>
    <pivotTable tabId="4" name="PivotTable7"/>
  </pivotTables>
  <data>
    <tabular pivotCacheId="1453874539">
      <items count="6">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976F724B-2B79-486D-9389-74339BC1ACE6}" sourceName="Company_Name">
  <pivotTables>
    <pivotTable tabId="4" name="PivotTable25"/>
    <pivotTable tabId="4" name="PivotTable26"/>
    <pivotTable tabId="4" name="PivotTable1"/>
    <pivotTable tabId="4" name="PivotTable2"/>
    <pivotTable tabId="4" name="PivotTable6"/>
    <pivotTable tabId="4" name="PivotTable7"/>
  </pivotTables>
  <data>
    <tabular pivotCacheId="1453874539">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4ABA6A-A9AA-451B-87D9-147166C7D26A}" cache="Slicer_Year" caption="Year" style="SlicerStyleLight2" rowHeight="257175"/>
  <slicer name="Companies" xr10:uid="{1A4085FC-7F8F-4390-9311-96B4DEA2AD5C}" cache="Slicer_Company_Name" caption="Companies"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3B8AE9-4BCD-44E7-8372-5D7FAABFC938}" name="Table2" displayName="Table2" ref="B9:F14" totalsRowShown="0" headerRowDxfId="31" tableBorderDxfId="30">
  <autoFilter ref="B9:F14" xr:uid="{5F3B8AE9-4BCD-44E7-8372-5D7FAABFC938}">
    <filterColumn colId="0" hiddenButton="1"/>
    <filterColumn colId="1" hiddenButton="1"/>
    <filterColumn colId="2" hiddenButton="1"/>
    <filterColumn colId="3" hiddenButton="1"/>
    <filterColumn colId="4" hiddenButton="1"/>
  </autoFilter>
  <tableColumns count="5">
    <tableColumn id="1" xr3:uid="{8C7A1D5A-DC15-4727-8051-DFD83923AD67}" name="Metric"/>
    <tableColumn id="2" xr3:uid="{5A3E2BC9-E1B3-4E29-9DAC-A008CC5EF34E}" name="Latest Value"/>
    <tableColumn id="3" xr3:uid="{E2ED3731-A449-4A93-BADA-E06EC661DE7E}" name="6-Year Avg"/>
    <tableColumn id="4" xr3:uid="{24521286-ABAD-4FDF-9894-00E2DA66E953}" name="Benchmark"/>
    <tableColumn id="5" xr3:uid="{E44E51FE-B7A1-4F32-AA0A-41CFDF1CADE8}" name="Meets Criteria?"/>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93BE-BB08-48C4-8583-9B02B24C61A7}">
  <dimension ref="A1:S52"/>
  <sheetViews>
    <sheetView topLeftCell="A38" zoomScale="130" zoomScaleNormal="130" workbookViewId="0">
      <selection activeCell="F59" sqref="F59"/>
    </sheetView>
  </sheetViews>
  <sheetFormatPr defaultRowHeight="15" x14ac:dyDescent="0.25"/>
  <cols>
    <col min="1" max="1" width="13.42578125" bestFit="1" customWidth="1"/>
    <col min="2" max="2" width="20.85546875" bestFit="1" customWidth="1"/>
    <col min="3" max="3" width="21.5703125" bestFit="1" customWidth="1"/>
    <col min="4" max="6" width="24.7109375" bestFit="1" customWidth="1"/>
    <col min="7" max="8" width="7.140625" bestFit="1" customWidth="1"/>
    <col min="9" max="9" width="22" bestFit="1" customWidth="1"/>
    <col min="10" max="11" width="13.42578125" bestFit="1" customWidth="1"/>
    <col min="12" max="12" width="13.28515625" bestFit="1" customWidth="1"/>
    <col min="13" max="13" width="19.28515625" bestFit="1" customWidth="1"/>
    <col min="14" max="14" width="18.42578125" bestFit="1" customWidth="1"/>
    <col min="15" max="15" width="17.7109375" style="2" bestFit="1" customWidth="1"/>
    <col min="16" max="16" width="15.85546875" style="3" bestFit="1" customWidth="1"/>
    <col min="17" max="17" width="22.140625" style="3" bestFit="1" customWidth="1"/>
    <col min="18" max="18" width="16.85546875" bestFit="1" customWidth="1"/>
    <col min="19" max="19" width="17" style="2" bestFit="1" customWidth="1"/>
  </cols>
  <sheetData>
    <row r="1" spans="1:19" x14ac:dyDescent="0.25">
      <c r="F1" s="4" t="s">
        <v>12</v>
      </c>
      <c r="G1" t="s">
        <v>15</v>
      </c>
      <c r="H1" t="s">
        <v>4</v>
      </c>
      <c r="J1" s="4" t="s">
        <v>12</v>
      </c>
      <c r="K1" t="s">
        <v>16</v>
      </c>
      <c r="L1" t="s">
        <v>17</v>
      </c>
      <c r="O1"/>
      <c r="P1"/>
      <c r="Q1"/>
      <c r="S1"/>
    </row>
    <row r="2" spans="1:19" x14ac:dyDescent="0.25">
      <c r="F2" s="5">
        <v>2019</v>
      </c>
      <c r="G2" s="1">
        <v>8.0594713656387706E-2</v>
      </c>
      <c r="H2" s="1">
        <v>0.24004461064095001</v>
      </c>
      <c r="J2" s="5">
        <v>2019</v>
      </c>
      <c r="K2" s="7">
        <v>6356</v>
      </c>
      <c r="L2" s="7">
        <v>-2998</v>
      </c>
      <c r="O2"/>
      <c r="P2"/>
      <c r="Q2"/>
      <c r="S2"/>
    </row>
    <row r="3" spans="1:19" x14ac:dyDescent="0.25">
      <c r="A3" s="4" t="s">
        <v>12</v>
      </c>
      <c r="B3" t="s">
        <v>14</v>
      </c>
      <c r="C3" t="s">
        <v>13</v>
      </c>
      <c r="F3" s="5">
        <v>2020</v>
      </c>
      <c r="G3" s="1">
        <v>7.20354237166103E-2</v>
      </c>
      <c r="H3" s="1">
        <v>0.21887989499015501</v>
      </c>
      <c r="J3" s="5">
        <v>2020</v>
      </c>
      <c r="K3" s="7">
        <v>8861</v>
      </c>
      <c r="L3" s="7">
        <v>-2810</v>
      </c>
      <c r="O3"/>
      <c r="P3"/>
      <c r="Q3"/>
      <c r="S3"/>
    </row>
    <row r="4" spans="1:19" x14ac:dyDescent="0.25">
      <c r="A4" s="5">
        <v>2019</v>
      </c>
      <c r="B4" s="6">
        <v>3659</v>
      </c>
      <c r="C4" s="6">
        <v>9354</v>
      </c>
      <c r="F4" s="5">
        <v>2021</v>
      </c>
      <c r="G4" s="1">
        <v>8.4480664102044994E-2</v>
      </c>
      <c r="H4" s="1">
        <v>0.28507173764518301</v>
      </c>
      <c r="J4" s="5">
        <v>2021</v>
      </c>
      <c r="K4" s="7">
        <v>8958</v>
      </c>
      <c r="L4" s="7">
        <v>-3588</v>
      </c>
      <c r="O4"/>
      <c r="P4"/>
      <c r="Q4"/>
      <c r="S4"/>
    </row>
    <row r="5" spans="1:19" x14ac:dyDescent="0.25">
      <c r="A5" s="5">
        <v>2020</v>
      </c>
      <c r="B5" s="6">
        <v>4002</v>
      </c>
      <c r="C5" s="6">
        <v>11671</v>
      </c>
      <c r="F5" s="5">
        <v>2022</v>
      </c>
      <c r="G5" s="1">
        <v>9.1076270922295297E-2</v>
      </c>
      <c r="H5" s="1">
        <v>0.283112101540548</v>
      </c>
      <c r="J5" s="5">
        <v>2022</v>
      </c>
      <c r="K5" s="7">
        <v>7392</v>
      </c>
      <c r="L5" s="7">
        <v>-3891</v>
      </c>
      <c r="O5"/>
      <c r="P5"/>
      <c r="Q5"/>
      <c r="S5"/>
    </row>
    <row r="6" spans="1:19" x14ac:dyDescent="0.25">
      <c r="A6" s="5">
        <v>2021</v>
      </c>
      <c r="B6" s="6">
        <v>5007</v>
      </c>
      <c r="C6" s="6">
        <v>12546</v>
      </c>
      <c r="F6" s="5">
        <v>2023</v>
      </c>
      <c r="G6" s="1">
        <v>9.1196335913267798E-2</v>
      </c>
      <c r="H6" s="1">
        <v>0.251097453906936</v>
      </c>
      <c r="J6" s="5">
        <v>2023</v>
      </c>
      <c r="K6" s="7">
        <v>11068</v>
      </c>
      <c r="L6" s="7">
        <v>-4323</v>
      </c>
      <c r="O6"/>
      <c r="P6"/>
      <c r="Q6"/>
      <c r="S6"/>
    </row>
    <row r="7" spans="1:19" x14ac:dyDescent="0.25">
      <c r="A7" s="5">
        <v>2022</v>
      </c>
      <c r="B7" s="6">
        <v>5844</v>
      </c>
      <c r="C7" s="6">
        <v>11283</v>
      </c>
      <c r="F7" s="5">
        <v>2024</v>
      </c>
      <c r="G7" s="1">
        <v>0.105497558390972</v>
      </c>
      <c r="H7" s="1">
        <v>0.31187029040724801</v>
      </c>
      <c r="J7" s="5">
        <v>2024</v>
      </c>
      <c r="K7" s="7">
        <v>11339</v>
      </c>
      <c r="L7" s="7">
        <v>-4710</v>
      </c>
      <c r="O7"/>
      <c r="P7"/>
      <c r="Q7"/>
      <c r="S7"/>
    </row>
    <row r="8" spans="1:19" x14ac:dyDescent="0.25">
      <c r="A8" s="5">
        <v>2023</v>
      </c>
      <c r="B8" s="6">
        <v>6292</v>
      </c>
      <c r="C8" s="6">
        <v>15391</v>
      </c>
    </row>
    <row r="9" spans="1:19" x14ac:dyDescent="0.25">
      <c r="A9" s="5">
        <v>2024</v>
      </c>
      <c r="B9" s="6">
        <v>7367</v>
      </c>
      <c r="C9" s="6">
        <v>16049</v>
      </c>
    </row>
    <row r="35" spans="1:13" x14ac:dyDescent="0.25">
      <c r="A35" s="4" t="s">
        <v>19</v>
      </c>
      <c r="B35" t="s">
        <v>20</v>
      </c>
    </row>
    <row r="37" spans="1:13" x14ac:dyDescent="0.25">
      <c r="A37" s="4" t="s">
        <v>12</v>
      </c>
      <c r="B37" t="s">
        <v>4</v>
      </c>
      <c r="C37" t="s">
        <v>5</v>
      </c>
      <c r="D37" t="s">
        <v>18</v>
      </c>
      <c r="E37" t="s">
        <v>7</v>
      </c>
      <c r="K37" s="4" t="s">
        <v>12</v>
      </c>
      <c r="L37" t="s">
        <v>5</v>
      </c>
      <c r="M37" t="s">
        <v>18</v>
      </c>
    </row>
    <row r="38" spans="1:13" x14ac:dyDescent="0.25">
      <c r="A38" s="5">
        <v>2019</v>
      </c>
      <c r="B38" s="1">
        <v>0.24004461064095001</v>
      </c>
      <c r="C38" s="3">
        <v>1.0106726341610399</v>
      </c>
      <c r="D38" s="3">
        <v>1.95604539788756</v>
      </c>
      <c r="E38" s="1">
        <v>2.3961546269555899E-2</v>
      </c>
      <c r="K38" s="5">
        <v>2024</v>
      </c>
      <c r="L38" s="3">
        <v>0.96565531242950597</v>
      </c>
      <c r="M38" s="3">
        <v>1.9561849123698201</v>
      </c>
    </row>
    <row r="39" spans="1:13" x14ac:dyDescent="0.25">
      <c r="A39" s="5">
        <v>2020</v>
      </c>
      <c r="B39" s="1">
        <v>0.21887989499015501</v>
      </c>
      <c r="C39" s="3">
        <v>1.1318628240219</v>
      </c>
      <c r="D39" s="3">
        <v>2.01547801356377</v>
      </c>
      <c r="E39" s="1">
        <v>2.3998416896036798E-2</v>
      </c>
      <c r="K39" s="5">
        <v>2023</v>
      </c>
      <c r="L39" s="3">
        <v>1.06836792424739</v>
      </c>
      <c r="M39" s="3">
        <v>1.7533721765504</v>
      </c>
    </row>
    <row r="40" spans="1:13" x14ac:dyDescent="0.25">
      <c r="A40" s="5">
        <v>2021</v>
      </c>
      <c r="B40" s="1">
        <v>0.28507173764518301</v>
      </c>
      <c r="C40" s="3">
        <v>1.00217383920383</v>
      </c>
      <c r="D40" s="3">
        <v>2.3451377818264598</v>
      </c>
      <c r="E40" s="1">
        <v>2.5555175599324201E-2</v>
      </c>
      <c r="K40" s="5">
        <v>2022</v>
      </c>
      <c r="L40" s="3">
        <v>1.02181386336646</v>
      </c>
      <c r="M40" s="3">
        <v>2.1082743920162801</v>
      </c>
    </row>
    <row r="41" spans="1:13" x14ac:dyDescent="0.25">
      <c r="A41" s="5">
        <v>2022</v>
      </c>
      <c r="B41" s="1">
        <v>0.283112101540548</v>
      </c>
      <c r="C41" s="3">
        <v>1.02181386336646</v>
      </c>
      <c r="D41" s="3">
        <v>2.1082743920162801</v>
      </c>
      <c r="E41" s="1">
        <v>2.5749711395260701E-2</v>
      </c>
      <c r="K41" s="5">
        <v>2021</v>
      </c>
      <c r="L41" s="3">
        <v>1.00217383920383</v>
      </c>
      <c r="M41" s="3">
        <v>2.3451377818264598</v>
      </c>
    </row>
    <row r="42" spans="1:13" x14ac:dyDescent="0.25">
      <c r="A42" s="5">
        <v>2023</v>
      </c>
      <c r="B42" s="1">
        <v>0.251097453906936</v>
      </c>
      <c r="C42" s="3">
        <v>1.06836792424739</v>
      </c>
      <c r="D42" s="3">
        <v>1.7533721765504</v>
      </c>
      <c r="E42" s="1">
        <v>2.5968880267448102E-2</v>
      </c>
      <c r="K42" s="5">
        <v>2020</v>
      </c>
      <c r="L42" s="3">
        <v>1.1318628240219</v>
      </c>
      <c r="M42" s="3">
        <v>2.01547801356377</v>
      </c>
    </row>
    <row r="43" spans="1:13" x14ac:dyDescent="0.25">
      <c r="A43" s="5">
        <v>2024</v>
      </c>
      <c r="B43" s="1">
        <v>0.31187029040724801</v>
      </c>
      <c r="C43" s="3">
        <v>0.96565531242950597</v>
      </c>
      <c r="D43" s="3">
        <v>1.9561849123698201</v>
      </c>
      <c r="E43" s="1">
        <v>2.8952301603832501E-2</v>
      </c>
      <c r="K43" s="5">
        <v>2019</v>
      </c>
      <c r="L43" s="3">
        <v>1.0106726341610399</v>
      </c>
      <c r="M43" s="3">
        <v>1.95604539788756</v>
      </c>
    </row>
    <row r="46" spans="1:13" x14ac:dyDescent="0.25">
      <c r="A46" s="4" t="s">
        <v>12</v>
      </c>
      <c r="B46" t="s">
        <v>28</v>
      </c>
      <c r="C46" t="s">
        <v>29</v>
      </c>
    </row>
    <row r="47" spans="1:13" x14ac:dyDescent="0.25">
      <c r="A47" s="5">
        <v>2024</v>
      </c>
      <c r="B47" s="2">
        <v>254453</v>
      </c>
      <c r="C47" s="3">
        <v>3.6438401283097801</v>
      </c>
    </row>
    <row r="48" spans="1:13" x14ac:dyDescent="0.25">
      <c r="A48" s="5">
        <v>2023</v>
      </c>
      <c r="B48" s="2">
        <v>242290</v>
      </c>
      <c r="C48" s="3">
        <v>3.5117546453314801</v>
      </c>
    </row>
    <row r="49" spans="1:3" x14ac:dyDescent="0.25">
      <c r="A49" s="5">
        <v>2022</v>
      </c>
      <c r="B49" s="2">
        <v>226954</v>
      </c>
      <c r="C49" s="3">
        <v>3.53698220241249</v>
      </c>
    </row>
    <row r="50" spans="1:3" x14ac:dyDescent="0.25">
      <c r="A50" s="5">
        <v>2021</v>
      </c>
      <c r="B50" s="2">
        <v>195929</v>
      </c>
      <c r="C50" s="3">
        <v>3.3058142673955602</v>
      </c>
    </row>
    <row r="51" spans="1:3" x14ac:dyDescent="0.25">
      <c r="A51" s="5">
        <v>2020</v>
      </c>
      <c r="B51" s="2">
        <v>166761</v>
      </c>
      <c r="C51" s="3">
        <v>3.0016739866081101</v>
      </c>
    </row>
    <row r="52" spans="1:3" x14ac:dyDescent="0.25">
      <c r="A52" s="5">
        <v>2019</v>
      </c>
      <c r="B52" s="2">
        <v>152703</v>
      </c>
      <c r="C52" s="3">
        <v>3.3635022026431698</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A643-D29D-44D2-AF68-A05715E0EC5D}">
  <dimension ref="B2:U17"/>
  <sheetViews>
    <sheetView workbookViewId="0">
      <selection activeCell="D11" sqref="D11"/>
    </sheetView>
  </sheetViews>
  <sheetFormatPr defaultRowHeight="15" x14ac:dyDescent="0.25"/>
  <cols>
    <col min="1" max="1" width="13.42578125" bestFit="1" customWidth="1"/>
    <col min="2" max="2" width="26.42578125" bestFit="1" customWidth="1"/>
    <col min="3" max="3" width="23.7109375" bestFit="1" customWidth="1"/>
    <col min="4" max="4" width="15" bestFit="1" customWidth="1"/>
    <col min="5" max="5" width="15.42578125" bestFit="1" customWidth="1"/>
    <col min="6" max="6" width="19.42578125" bestFit="1" customWidth="1"/>
    <col min="16" max="16" width="13.42578125" bestFit="1" customWidth="1"/>
    <col min="17" max="17" width="24" bestFit="1" customWidth="1"/>
    <col min="18" max="18" width="23.7109375" bestFit="1" customWidth="1"/>
    <col min="19" max="19" width="30.140625" bestFit="1" customWidth="1"/>
    <col min="20" max="20" width="26.5703125" bestFit="1" customWidth="1"/>
  </cols>
  <sheetData>
    <row r="2" spans="2:6" x14ac:dyDescent="0.25">
      <c r="B2" t="s">
        <v>9</v>
      </c>
      <c r="C2" t="s">
        <v>0</v>
      </c>
    </row>
    <row r="3" spans="2:6" x14ac:dyDescent="0.25">
      <c r="B3" t="s">
        <v>1</v>
      </c>
      <c r="C3">
        <v>2020</v>
      </c>
    </row>
    <row r="9" spans="2:6" x14ac:dyDescent="0.25">
      <c r="B9" s="15" t="s">
        <v>3</v>
      </c>
      <c r="C9" s="15" t="s">
        <v>21</v>
      </c>
      <c r="D9" s="15" t="s">
        <v>22</v>
      </c>
      <c r="E9" s="15" t="s">
        <v>2</v>
      </c>
      <c r="F9" s="15" t="s">
        <v>8</v>
      </c>
    </row>
    <row r="10" spans="2:6" x14ac:dyDescent="0.25">
      <c r="B10" s="9" t="s">
        <v>4</v>
      </c>
      <c r="C10" s="10">
        <f>_xlfn.XLOOKUP(2024,Costco_Data_Charts!$A$38:$A$43,Costco_Data_Charts!$B$38:$B$43)</f>
        <v>0.31187029040724801</v>
      </c>
      <c r="D10" s="10">
        <f xml:space="preserve"> AVERAGE(Costco_Data_Charts!$B$38:$B$43)</f>
        <v>0.26501268152183671</v>
      </c>
      <c r="E10" s="10">
        <v>0.2</v>
      </c>
      <c r="F10" s="9" cm="1">
        <f t="array" ref="F10">_xlfn.IFS(
  AND($C10 &gt;= $E10, $D10 &gt;= $E10), 2,
  OR($C10 &gt;= $E10, $D10 &gt;= $E10), 1,
  TRUE, 0
)</f>
        <v>2</v>
      </c>
    </row>
    <row r="11" spans="2:6" x14ac:dyDescent="0.25">
      <c r="B11" s="9" t="s">
        <v>5</v>
      </c>
      <c r="C11" s="11">
        <f>_xlfn.XLOOKUP(2024,Costco_Data_Charts!$A$38:$A$43,Costco_Data_Charts!$C$38:$C$43)</f>
        <v>0.96565531242950597</v>
      </c>
      <c r="D11" s="11">
        <f xml:space="preserve"> AVERAGE(Costco_Data_Charts!$C$38:$C$43)</f>
        <v>1.0334243995716876</v>
      </c>
      <c r="E11" s="12">
        <v>1</v>
      </c>
      <c r="F11" s="9" cm="1">
        <f t="array" ref="F11">_xlfn.IFS(
  AND($C11 &gt;= $E11, $D11 &gt;= $E11), 2,
  OR($C11 &gt;= $E11, $D11 &gt;= $E11), 1,
  TRUE, 0
)</f>
        <v>1</v>
      </c>
    </row>
    <row r="12" spans="2:6" x14ac:dyDescent="0.25">
      <c r="B12" s="9" t="s">
        <v>6</v>
      </c>
      <c r="C12" s="11">
        <f>_xlfn.XLOOKUP(2024,Costco_Data_Charts!$A$38:$A$43,Costco_Data_Charts!$D$38:$D$43)</f>
        <v>1.9561849123698201</v>
      </c>
      <c r="D12" s="11">
        <f xml:space="preserve"> AVERAGE(Costco_Data_Charts!$D$38:$D$43)</f>
        <v>2.0224154457023817</v>
      </c>
      <c r="E12" s="13">
        <v>2.5</v>
      </c>
      <c r="F12" s="9" cm="1">
        <f t="array" ref="F12">_xlfn.IFS(
  AND($C12 &lt;= $E12, $D12 &lt;= $E12), 2,
  OR($C12 &lt;= $E12, $D12 &lt;= $E12), 1,
  TRUE, 0
)</f>
        <v>2</v>
      </c>
    </row>
    <row r="13" spans="2:6" x14ac:dyDescent="0.25">
      <c r="B13" s="9" t="s">
        <v>7</v>
      </c>
      <c r="C13" s="10">
        <f>_xlfn.XLOOKUP(2024,Costco_Data_Charts!$A$38:$A$43,Costco_Data_Charts!$E$38:$E$43)</f>
        <v>2.8952301603832501E-2</v>
      </c>
      <c r="D13" s="10">
        <f xml:space="preserve"> AVERAGE(Costco_Data_Charts!$E$38:$E$43)</f>
        <v>2.5697672005243033E-2</v>
      </c>
      <c r="E13" s="10">
        <v>2.5000000000000001E-2</v>
      </c>
      <c r="F13" s="9" cm="1">
        <f t="array" ref="F13">_xlfn.IFS(
  AND($C13 &gt;= $E13, $D13 &gt;= $E13), 2,
  OR($C13 &gt;= $E13, $D13 &gt;= $E13), 1,
  TRUE, 0
)</f>
        <v>2</v>
      </c>
    </row>
    <row r="14" spans="2:6" x14ac:dyDescent="0.25">
      <c r="B14" s="9" t="s">
        <v>10</v>
      </c>
      <c r="C14" s="14" t="str" cm="1">
        <f t="array" ref="C14" xml:space="preserve"> _xlfn.IFS(F14&gt;=6, "Safe Investment", F14&gt;= 4, "Decent Investment", F14 &lt; 4, "Don't Invest")</f>
        <v>Safe Investment</v>
      </c>
      <c r="D14" s="14"/>
      <c r="E14" s="14"/>
      <c r="F14" s="9">
        <f>SUM(F10:F13)</f>
        <v>7</v>
      </c>
    </row>
    <row r="17" spans="21:21" x14ac:dyDescent="0.25">
      <c r="U17" t="s">
        <v>2</v>
      </c>
    </row>
  </sheetData>
  <conditionalFormatting sqref="F10:F13">
    <cfRule type="iconSet" priority="6">
      <iconSet iconSet="3Arrows">
        <cfvo type="percent" val="0"/>
        <cfvo type="num" val="1"/>
        <cfvo type="num" val="2"/>
      </iconSet>
    </cfRule>
  </conditionalFormatting>
  <conditionalFormatting sqref="F14">
    <cfRule type="iconSet" priority="5">
      <iconSet iconSet="3Symbols">
        <cfvo type="percent" val="0"/>
        <cfvo type="num" val="4"/>
        <cfvo type="num" val="6"/>
      </iconSet>
    </cfRule>
  </conditionalFormatting>
  <conditionalFormatting sqref="C10:E10">
    <cfRule type="dataBar" priority="3">
      <dataBar>
        <cfvo type="min"/>
        <cfvo type="max"/>
        <color rgb="FF638EC6"/>
      </dataBar>
      <extLst>
        <ext xmlns:x14="http://schemas.microsoft.com/office/spreadsheetml/2009/9/main" uri="{B025F937-C7B1-47D3-B67F-A62EFF666E3E}">
          <x14:id>{C91DFBB7-DA27-4573-9EE9-B35D7E8B116E}</x14:id>
        </ext>
      </extLst>
    </cfRule>
  </conditionalFormatting>
  <conditionalFormatting sqref="C11:E12">
    <cfRule type="dataBar" priority="2">
      <dataBar>
        <cfvo type="min"/>
        <cfvo type="max"/>
        <color rgb="FF638EC6"/>
      </dataBar>
      <extLst>
        <ext xmlns:x14="http://schemas.microsoft.com/office/spreadsheetml/2009/9/main" uri="{B025F937-C7B1-47D3-B67F-A62EFF666E3E}">
          <x14:id>{DD536C40-3C2A-4984-BF9E-139123C05E15}</x14:id>
        </ext>
      </extLst>
    </cfRule>
  </conditionalFormatting>
  <conditionalFormatting sqref="C13:E13">
    <cfRule type="dataBar" priority="1">
      <dataBar>
        <cfvo type="min"/>
        <cfvo type="max"/>
        <color rgb="FF638EC6"/>
      </dataBar>
      <extLst>
        <ext xmlns:x14="http://schemas.microsoft.com/office/spreadsheetml/2009/9/main" uri="{B025F937-C7B1-47D3-B67F-A62EFF666E3E}">
          <x14:id>{65ABAE0C-1319-492A-BBC6-E207855BCAFF}</x14:id>
        </ext>
      </extLst>
    </cfRule>
  </conditionalFormatting>
  <dataValidations count="1">
    <dataValidation type="list" allowBlank="1" showInputMessage="1" showErrorMessage="1" sqref="B3" xr:uid="{2A0306FE-023E-4E78-8AB0-D8399686A253}">
      <formula1>"Costco"</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91DFBB7-DA27-4573-9EE9-B35D7E8B116E}">
            <x14:dataBar minLength="0" maxLength="100" border="1" negativeBarBorderColorSameAsPositive="0">
              <x14:cfvo type="autoMin"/>
              <x14:cfvo type="autoMax"/>
              <x14:borderColor rgb="FF638EC6"/>
              <x14:negativeFillColor rgb="FFFF0000"/>
              <x14:negativeBorderColor rgb="FFFF0000"/>
              <x14:axisColor rgb="FF000000"/>
            </x14:dataBar>
          </x14:cfRule>
          <xm:sqref>C10:E10</xm:sqref>
        </x14:conditionalFormatting>
        <x14:conditionalFormatting xmlns:xm="http://schemas.microsoft.com/office/excel/2006/main">
          <x14:cfRule type="dataBar" id="{DD536C40-3C2A-4984-BF9E-139123C05E15}">
            <x14:dataBar minLength="0" maxLength="100" border="1" negativeBarBorderColorSameAsPositive="0">
              <x14:cfvo type="autoMin"/>
              <x14:cfvo type="autoMax"/>
              <x14:borderColor rgb="FF638EC6"/>
              <x14:negativeFillColor rgb="FFFF0000"/>
              <x14:negativeBorderColor rgb="FFFF0000"/>
              <x14:axisColor rgb="FF000000"/>
            </x14:dataBar>
          </x14:cfRule>
          <xm:sqref>C11:E12</xm:sqref>
        </x14:conditionalFormatting>
        <x14:conditionalFormatting xmlns:xm="http://schemas.microsoft.com/office/excel/2006/main">
          <x14:cfRule type="dataBar" id="{65ABAE0C-1319-492A-BBC6-E207855BCAFF}">
            <x14:dataBar minLength="0" maxLength="100" border="1" negativeBarBorderColorSameAsPositive="0">
              <x14:cfvo type="autoMin"/>
              <x14:cfvo type="autoMax"/>
              <x14:borderColor rgb="FF638EC6"/>
              <x14:negativeFillColor rgb="FFFF0000"/>
              <x14:negativeBorderColor rgb="FFFF0000"/>
              <x14:axisColor rgb="FF000000"/>
            </x14:dataBar>
          </x14:cfRule>
          <xm:sqref>C13:E13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7165231-1F19-48D9-83FE-C8A19B8B7E04}">
          <x14:formula1>
            <xm:f>Costco_Data_Charts!$B$2:$B$7</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BE01-4BE2-4686-97A9-90E225DE9EFD}">
  <dimension ref="A1:AE11"/>
  <sheetViews>
    <sheetView showGridLines="0" showRowColHeaders="0" tabSelected="1" workbookViewId="0">
      <selection activeCell="AI30" sqref="AI30"/>
    </sheetView>
  </sheetViews>
  <sheetFormatPr defaultRowHeight="15" x14ac:dyDescent="0.25"/>
  <sheetData>
    <row r="1" spans="1:31" ht="15" customHeight="1" x14ac:dyDescent="0.25">
      <c r="A1" s="16" t="s">
        <v>11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1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ht="15"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ht="15" customHeight="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row>
    <row r="6" spans="1:31" x14ac:dyDescent="0.25">
      <c r="E6" s="8"/>
      <c r="F6" s="8"/>
      <c r="G6" s="8"/>
      <c r="H6" s="8"/>
      <c r="I6" s="8"/>
    </row>
    <row r="7" spans="1:31" x14ac:dyDescent="0.25">
      <c r="E7" s="9"/>
      <c r="F7" s="10"/>
      <c r="G7" s="10"/>
      <c r="H7" s="10"/>
      <c r="I7" s="9"/>
    </row>
    <row r="8" spans="1:31" x14ac:dyDescent="0.25">
      <c r="E8" s="9"/>
      <c r="F8" s="11"/>
      <c r="G8" s="11"/>
      <c r="H8" s="12"/>
      <c r="I8" s="9"/>
    </row>
    <row r="9" spans="1:31" x14ac:dyDescent="0.25">
      <c r="E9" s="9"/>
      <c r="F9" s="11"/>
      <c r="G9" s="11"/>
      <c r="H9" s="13"/>
      <c r="I9" s="9"/>
    </row>
    <row r="10" spans="1:31" x14ac:dyDescent="0.25">
      <c r="E10" s="9"/>
      <c r="F10" s="10"/>
      <c r="G10" s="10"/>
      <c r="H10" s="10"/>
      <c r="I10" s="9"/>
    </row>
    <row r="11" spans="1:31" x14ac:dyDescent="0.25">
      <c r="E11" s="9"/>
      <c r="F11" s="14"/>
      <c r="G11" s="14"/>
      <c r="H11" s="14"/>
      <c r="I11" s="9"/>
    </row>
  </sheetData>
  <mergeCells count="1">
    <mergeCell ref="A1:AE4"/>
  </mergeCells>
  <phoneticPr fontId="2" type="noConversion"/>
  <conditionalFormatting sqref="I7:I10">
    <cfRule type="iconSet" priority="5">
      <iconSet iconSet="3Arrows">
        <cfvo type="percent" val="0"/>
        <cfvo type="num" val="1"/>
        <cfvo type="num" val="2"/>
      </iconSet>
    </cfRule>
  </conditionalFormatting>
  <conditionalFormatting sqref="I11">
    <cfRule type="iconSet" priority="4">
      <iconSet iconSet="3Symbols">
        <cfvo type="percent" val="0"/>
        <cfvo type="num" val="4"/>
        <cfvo type="num" val="6"/>
      </iconSet>
    </cfRule>
  </conditionalFormatting>
  <conditionalFormatting sqref="F7:H7">
    <cfRule type="dataBar" priority="3">
      <dataBar>
        <cfvo type="min"/>
        <cfvo type="max"/>
        <color rgb="FF638EC6"/>
      </dataBar>
      <extLst>
        <ext xmlns:x14="http://schemas.microsoft.com/office/spreadsheetml/2009/9/main" uri="{B025F937-C7B1-47D3-B67F-A62EFF666E3E}">
          <x14:id>{FF450D3B-D395-4F98-B789-4FF84C812BC5}</x14:id>
        </ext>
      </extLst>
    </cfRule>
  </conditionalFormatting>
  <conditionalFormatting sqref="F8:H9">
    <cfRule type="dataBar" priority="2">
      <dataBar>
        <cfvo type="min"/>
        <cfvo type="max"/>
        <color rgb="FF638EC6"/>
      </dataBar>
      <extLst>
        <ext xmlns:x14="http://schemas.microsoft.com/office/spreadsheetml/2009/9/main" uri="{B025F937-C7B1-47D3-B67F-A62EFF666E3E}">
          <x14:id>{7254E1EB-8A74-4162-99D6-ADB6EC65E237}</x14:id>
        </ext>
      </extLst>
    </cfRule>
  </conditionalFormatting>
  <conditionalFormatting sqref="F10:H10">
    <cfRule type="dataBar" priority="1">
      <dataBar>
        <cfvo type="min"/>
        <cfvo type="max"/>
        <color rgb="FF638EC6"/>
      </dataBar>
      <extLst>
        <ext xmlns:x14="http://schemas.microsoft.com/office/spreadsheetml/2009/9/main" uri="{B025F937-C7B1-47D3-B67F-A62EFF666E3E}">
          <x14:id>{20E8CCA1-0474-4593-823F-003C79173BFD}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F450D3B-D395-4F98-B789-4FF84C812BC5}">
            <x14:dataBar minLength="0" maxLength="100" border="1" negativeBarBorderColorSameAsPositive="0">
              <x14:cfvo type="autoMin"/>
              <x14:cfvo type="autoMax"/>
              <x14:borderColor rgb="FF638EC6"/>
              <x14:negativeFillColor rgb="FFFF0000"/>
              <x14:negativeBorderColor rgb="FFFF0000"/>
              <x14:axisColor rgb="FF000000"/>
            </x14:dataBar>
          </x14:cfRule>
          <xm:sqref>F7:H7</xm:sqref>
        </x14:conditionalFormatting>
        <x14:conditionalFormatting xmlns:xm="http://schemas.microsoft.com/office/excel/2006/main">
          <x14:cfRule type="dataBar" id="{7254E1EB-8A74-4162-99D6-ADB6EC65E237}">
            <x14:dataBar minLength="0" maxLength="100" border="1" negativeBarBorderColorSameAsPositive="0">
              <x14:cfvo type="autoMin"/>
              <x14:cfvo type="autoMax"/>
              <x14:borderColor rgb="FF638EC6"/>
              <x14:negativeFillColor rgb="FFFF0000"/>
              <x14:negativeBorderColor rgb="FFFF0000"/>
              <x14:axisColor rgb="FF000000"/>
            </x14:dataBar>
          </x14:cfRule>
          <xm:sqref>F8:H9</xm:sqref>
        </x14:conditionalFormatting>
        <x14:conditionalFormatting xmlns:xm="http://schemas.microsoft.com/office/excel/2006/main">
          <x14:cfRule type="dataBar" id="{20E8CCA1-0474-4593-823F-003C79173BFD}">
            <x14:dataBar minLength="0" maxLength="100" border="1" negativeBarBorderColorSameAsPositive="0">
              <x14:cfvo type="autoMin"/>
              <x14:cfvo type="autoMax"/>
              <x14:borderColor rgb="FF638EC6"/>
              <x14:negativeFillColor rgb="FFFF0000"/>
              <x14:negativeBorderColor rgb="FFFF0000"/>
              <x14:axisColor rgb="FF000000"/>
            </x14:dataBar>
          </x14:cfRule>
          <xm:sqref>F10:H10</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FFDDC8-77CB-458D-8D59-1E3522808D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Costco_Data_Charts</vt:lpstr>
      <vt:lpstr>Costco Metrics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Chao</dc:creator>
  <cp:lastModifiedBy>Linda Chao</cp:lastModifiedBy>
  <dcterms:created xsi:type="dcterms:W3CDTF">2025-04-24T21:26:04Z</dcterms:created>
  <dcterms:modified xsi:type="dcterms:W3CDTF">2025-04-30T06:21:46Z</dcterms:modified>
</cp:coreProperties>
</file>